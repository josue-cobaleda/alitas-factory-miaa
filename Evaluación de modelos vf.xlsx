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Master_MIAA\2do_Semestre\Proyecto de innovación II\Alitas factory Proyecto MIAA\"/>
    </mc:Choice>
  </mc:AlternateContent>
  <xr:revisionPtr revIDLastSave="0" documentId="13_ncr:1_{FDE6EB32-4D27-4E90-BFC3-63ECFEB3BD71}" xr6:coauthVersionLast="47" xr6:coauthVersionMax="47" xr10:uidLastSave="{00000000-0000-0000-0000-000000000000}"/>
  <bookViews>
    <workbookView xWindow="38280" yWindow="7575" windowWidth="29040" windowHeight="15720" xr2:uid="{F047442E-52F8-4224-9447-4149471A530B}"/>
  </bookViews>
  <sheets>
    <sheet name="Hoja1" sheetId="1" r:id="rId1"/>
    <sheet name="Hoja2" sheetId="2" r:id="rId2"/>
  </sheets>
  <definedNames>
    <definedName name="_xlnm._FilterDatabase" localSheetId="0" hidden="1">Hoja1!$A$1:$Q$1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3" i="1"/>
  <c r="L144" i="1"/>
  <c r="J55" i="1"/>
  <c r="J56" i="1"/>
  <c r="J57" i="1"/>
  <c r="J63" i="1"/>
  <c r="J71" i="1"/>
  <c r="J147" i="1"/>
  <c r="J151" i="1"/>
  <c r="J152" i="1"/>
  <c r="J2" i="1"/>
  <c r="I3" i="1"/>
  <c r="M3" i="1" s="1"/>
  <c r="I4" i="1"/>
  <c r="M4" i="1" s="1"/>
  <c r="I5" i="1"/>
  <c r="M5" i="1" s="1"/>
  <c r="I6" i="1"/>
  <c r="M6" i="1" s="1"/>
  <c r="I7" i="1"/>
  <c r="M7" i="1" s="1"/>
  <c r="I8" i="1"/>
  <c r="K8" i="1" s="1"/>
  <c r="I9" i="1"/>
  <c r="K9" i="1" s="1"/>
  <c r="I10" i="1"/>
  <c r="K10" i="1" s="1"/>
  <c r="I11" i="1"/>
  <c r="K11" i="1" s="1"/>
  <c r="I12" i="1"/>
  <c r="K12" i="1" s="1"/>
  <c r="I13" i="1"/>
  <c r="K13" i="1" s="1"/>
  <c r="I14" i="1"/>
  <c r="K14" i="1" s="1"/>
  <c r="I15" i="1"/>
  <c r="K15" i="1" s="1"/>
  <c r="I16" i="1"/>
  <c r="K16" i="1" s="1"/>
  <c r="I17" i="1"/>
  <c r="K17" i="1" s="1"/>
  <c r="I18" i="1"/>
  <c r="K18" i="1" s="1"/>
  <c r="I19" i="1"/>
  <c r="M19" i="1" s="1"/>
  <c r="I20" i="1"/>
  <c r="M20" i="1" s="1"/>
  <c r="I21" i="1"/>
  <c r="M21" i="1" s="1"/>
  <c r="I22" i="1"/>
  <c r="M22" i="1" s="1"/>
  <c r="I23" i="1"/>
  <c r="K23" i="1" s="1"/>
  <c r="I24" i="1"/>
  <c r="K24" i="1" s="1"/>
  <c r="I25" i="1"/>
  <c r="K25" i="1" s="1"/>
  <c r="I26" i="1"/>
  <c r="K26" i="1" s="1"/>
  <c r="I27" i="1"/>
  <c r="K27" i="1" s="1"/>
  <c r="I28" i="1"/>
  <c r="K28" i="1" s="1"/>
  <c r="I29" i="1"/>
  <c r="K29" i="1" s="1"/>
  <c r="I30" i="1"/>
  <c r="K30" i="1" s="1"/>
  <c r="I31" i="1"/>
  <c r="M31" i="1" s="1"/>
  <c r="I32" i="1"/>
  <c r="I33" i="1"/>
  <c r="K33" i="1" s="1"/>
  <c r="I34" i="1"/>
  <c r="K34" i="1" s="1"/>
  <c r="I35" i="1"/>
  <c r="K35" i="1" s="1"/>
  <c r="I36" i="1"/>
  <c r="K36" i="1" s="1"/>
  <c r="I37" i="1"/>
  <c r="M37" i="1" s="1"/>
  <c r="I38" i="1"/>
  <c r="M38" i="1" s="1"/>
  <c r="I39" i="1"/>
  <c r="M39" i="1" s="1"/>
  <c r="I40" i="1"/>
  <c r="M40" i="1" s="1"/>
  <c r="I41" i="1"/>
  <c r="M41" i="1" s="1"/>
  <c r="I42" i="1"/>
  <c r="K42" i="1" s="1"/>
  <c r="I43" i="1"/>
  <c r="K43" i="1" s="1"/>
  <c r="I44" i="1"/>
  <c r="K44" i="1" s="1"/>
  <c r="I45" i="1"/>
  <c r="K45" i="1" s="1"/>
  <c r="I46" i="1"/>
  <c r="M46" i="1" s="1"/>
  <c r="I47" i="1"/>
  <c r="K47" i="1" s="1"/>
  <c r="I48" i="1"/>
  <c r="I49" i="1"/>
  <c r="I50" i="1"/>
  <c r="I51" i="1"/>
  <c r="K51" i="1" s="1"/>
  <c r="I52" i="1"/>
  <c r="K52" i="1" s="1"/>
  <c r="I53" i="1"/>
  <c r="M53" i="1" s="1"/>
  <c r="I54" i="1"/>
  <c r="M54" i="1" s="1"/>
  <c r="I55" i="1"/>
  <c r="M55" i="1" s="1"/>
  <c r="I56" i="1"/>
  <c r="M56" i="1" s="1"/>
  <c r="I57" i="1"/>
  <c r="M57" i="1" s="1"/>
  <c r="I58" i="1"/>
  <c r="K58" i="1" s="1"/>
  <c r="I59" i="1"/>
  <c r="M59" i="1" s="1"/>
  <c r="I60" i="1"/>
  <c r="M60" i="1" s="1"/>
  <c r="I61" i="1"/>
  <c r="K61" i="1" s="1"/>
  <c r="I62" i="1"/>
  <c r="K62" i="1" s="1"/>
  <c r="I63" i="1"/>
  <c r="K63" i="1" s="1"/>
  <c r="I64" i="1"/>
  <c r="I65" i="1"/>
  <c r="I66" i="1"/>
  <c r="I67" i="1"/>
  <c r="K67" i="1" s="1"/>
  <c r="I68" i="1"/>
  <c r="K68" i="1" s="1"/>
  <c r="I69" i="1"/>
  <c r="M69" i="1" s="1"/>
  <c r="I70" i="1"/>
  <c r="K70" i="1" s="1"/>
  <c r="I71" i="1"/>
  <c r="M71" i="1" s="1"/>
  <c r="I72" i="1"/>
  <c r="M72" i="1" s="1"/>
  <c r="I73" i="1"/>
  <c r="M73" i="1" s="1"/>
  <c r="I74" i="1"/>
  <c r="K74" i="1" s="1"/>
  <c r="I75" i="1"/>
  <c r="K75" i="1" s="1"/>
  <c r="I76" i="1"/>
  <c r="K76" i="1" s="1"/>
  <c r="I77" i="1"/>
  <c r="K77" i="1" s="1"/>
  <c r="I78" i="1"/>
  <c r="K78" i="1" s="1"/>
  <c r="I79" i="1"/>
  <c r="K79" i="1" s="1"/>
  <c r="I80" i="1"/>
  <c r="I81" i="1"/>
  <c r="I82" i="1"/>
  <c r="I83" i="1"/>
  <c r="K83" i="1" s="1"/>
  <c r="I84" i="1"/>
  <c r="K84" i="1" s="1"/>
  <c r="I85" i="1"/>
  <c r="K85" i="1" s="1"/>
  <c r="I86" i="1"/>
  <c r="K86" i="1" s="1"/>
  <c r="I87" i="1"/>
  <c r="M87" i="1" s="1"/>
  <c r="I88" i="1"/>
  <c r="M88" i="1" s="1"/>
  <c r="I89" i="1"/>
  <c r="M89" i="1" s="1"/>
  <c r="I90" i="1"/>
  <c r="K90" i="1" s="1"/>
  <c r="I91" i="1"/>
  <c r="K91" i="1" s="1"/>
  <c r="I92" i="1"/>
  <c r="M92" i="1" s="1"/>
  <c r="I93" i="1"/>
  <c r="K93" i="1" s="1"/>
  <c r="I94" i="1"/>
  <c r="M94" i="1" s="1"/>
  <c r="I95" i="1"/>
  <c r="K95" i="1" s="1"/>
  <c r="I96" i="1"/>
  <c r="I97" i="1"/>
  <c r="I98" i="1"/>
  <c r="K98" i="1" s="1"/>
  <c r="I99" i="1"/>
  <c r="K99" i="1" s="1"/>
  <c r="I100" i="1"/>
  <c r="K100" i="1" s="1"/>
  <c r="I101" i="1"/>
  <c r="M101" i="1" s="1"/>
  <c r="I102" i="1"/>
  <c r="M102" i="1" s="1"/>
  <c r="I103" i="1"/>
  <c r="M103" i="1" s="1"/>
  <c r="I104" i="1"/>
  <c r="M104" i="1" s="1"/>
  <c r="I105" i="1"/>
  <c r="M105" i="1" s="1"/>
  <c r="I106" i="1"/>
  <c r="K106" i="1" s="1"/>
  <c r="I107" i="1"/>
  <c r="K107" i="1" s="1"/>
  <c r="I108" i="1"/>
  <c r="K108" i="1" s="1"/>
  <c r="I109" i="1"/>
  <c r="K109" i="1" s="1"/>
  <c r="I110" i="1"/>
  <c r="K110" i="1" s="1"/>
  <c r="I111" i="1"/>
  <c r="K111" i="1" s="1"/>
  <c r="I112" i="1"/>
  <c r="I113" i="1"/>
  <c r="I114" i="1"/>
  <c r="I115" i="1"/>
  <c r="K115" i="1" s="1"/>
  <c r="I116" i="1"/>
  <c r="K116" i="1" s="1"/>
  <c r="I117" i="1"/>
  <c r="M117" i="1" s="1"/>
  <c r="I118" i="1"/>
  <c r="M118" i="1" s="1"/>
  <c r="I119" i="1"/>
  <c r="M119" i="1" s="1"/>
  <c r="I120" i="1"/>
  <c r="M120" i="1" s="1"/>
  <c r="I121" i="1"/>
  <c r="M121" i="1" s="1"/>
  <c r="I122" i="1"/>
  <c r="K122" i="1" s="1"/>
  <c r="I123" i="1"/>
  <c r="K123" i="1" s="1"/>
  <c r="I124" i="1"/>
  <c r="K124" i="1" s="1"/>
  <c r="I125" i="1"/>
  <c r="M125" i="1" s="1"/>
  <c r="I126" i="1"/>
  <c r="K126" i="1" s="1"/>
  <c r="I127" i="1"/>
  <c r="M127" i="1" s="1"/>
  <c r="I128" i="1"/>
  <c r="I129" i="1"/>
  <c r="I130" i="1"/>
  <c r="I131" i="1"/>
  <c r="K131" i="1" s="1"/>
  <c r="I132" i="1"/>
  <c r="K132" i="1" s="1"/>
  <c r="I133" i="1"/>
  <c r="M133" i="1" s="1"/>
  <c r="I134" i="1"/>
  <c r="K134" i="1" s="1"/>
  <c r="I135" i="1"/>
  <c r="M135" i="1" s="1"/>
  <c r="I136" i="1"/>
  <c r="M136" i="1" s="1"/>
  <c r="I137" i="1"/>
  <c r="M137" i="1" s="1"/>
  <c r="I138" i="1"/>
  <c r="K138" i="1" s="1"/>
  <c r="I139" i="1"/>
  <c r="K139" i="1" s="1"/>
  <c r="I140" i="1"/>
  <c r="K140" i="1" s="1"/>
  <c r="I141" i="1"/>
  <c r="K141" i="1" s="1"/>
  <c r="I142" i="1"/>
  <c r="K142" i="1" s="1"/>
  <c r="I143" i="1"/>
  <c r="K143" i="1" s="1"/>
  <c r="I144" i="1"/>
  <c r="I145" i="1"/>
  <c r="I146" i="1"/>
  <c r="K146" i="1" s="1"/>
  <c r="I147" i="1"/>
  <c r="K147" i="1" s="1"/>
  <c r="I148" i="1"/>
  <c r="K148" i="1" s="1"/>
  <c r="I149" i="1"/>
  <c r="K149" i="1" s="1"/>
  <c r="I150" i="1"/>
  <c r="K150" i="1" s="1"/>
  <c r="I151" i="1"/>
  <c r="M151" i="1" s="1"/>
  <c r="I152" i="1"/>
  <c r="M152" i="1" s="1"/>
  <c r="H3" i="1"/>
  <c r="L3" i="1" s="1"/>
  <c r="H4" i="1"/>
  <c r="H5" i="1"/>
  <c r="L5" i="1" s="1"/>
  <c r="H6" i="1"/>
  <c r="L6" i="1" s="1"/>
  <c r="H7" i="1"/>
  <c r="L7" i="1" s="1"/>
  <c r="H8" i="1"/>
  <c r="L8" i="1" s="1"/>
  <c r="H9" i="1"/>
  <c r="L9" i="1" s="1"/>
  <c r="H10" i="1"/>
  <c r="J10" i="1" s="1"/>
  <c r="H11" i="1"/>
  <c r="J11" i="1" s="1"/>
  <c r="H12" i="1"/>
  <c r="L12" i="1" s="1"/>
  <c r="H13" i="1"/>
  <c r="L13" i="1" s="1"/>
  <c r="H14" i="1"/>
  <c r="L14" i="1" s="1"/>
  <c r="H15" i="1"/>
  <c r="L15" i="1" s="1"/>
  <c r="H16" i="1"/>
  <c r="J16" i="1" s="1"/>
  <c r="H17" i="1"/>
  <c r="J17" i="1" s="1"/>
  <c r="H18" i="1"/>
  <c r="L18" i="1" s="1"/>
  <c r="H19" i="1"/>
  <c r="J19" i="1" s="1"/>
  <c r="H20" i="1"/>
  <c r="L20" i="1" s="1"/>
  <c r="H21" i="1"/>
  <c r="L21" i="1" s="1"/>
  <c r="H22" i="1"/>
  <c r="J22" i="1" s="1"/>
  <c r="H23" i="1"/>
  <c r="J23" i="1" s="1"/>
  <c r="H24" i="1"/>
  <c r="J24" i="1" s="1"/>
  <c r="H25" i="1"/>
  <c r="L25" i="1" s="1"/>
  <c r="H26" i="1"/>
  <c r="H27" i="1"/>
  <c r="H28" i="1"/>
  <c r="H29" i="1"/>
  <c r="H30" i="1"/>
  <c r="H31" i="1"/>
  <c r="L31" i="1" s="1"/>
  <c r="H32" i="1"/>
  <c r="L32" i="1" s="1"/>
  <c r="H33" i="1"/>
  <c r="L33" i="1" s="1"/>
  <c r="H34" i="1"/>
  <c r="L34" i="1" s="1"/>
  <c r="H35" i="1"/>
  <c r="L35" i="1" s="1"/>
  <c r="H36" i="1"/>
  <c r="L36" i="1" s="1"/>
  <c r="H37" i="1"/>
  <c r="L37" i="1" s="1"/>
  <c r="H38" i="1"/>
  <c r="L38" i="1" s="1"/>
  <c r="H39" i="1"/>
  <c r="L39" i="1" s="1"/>
  <c r="H40" i="1"/>
  <c r="J40" i="1" s="1"/>
  <c r="H41" i="1"/>
  <c r="J41" i="1" s="1"/>
  <c r="H42" i="1"/>
  <c r="H43" i="1"/>
  <c r="H44" i="1"/>
  <c r="H45" i="1"/>
  <c r="H46" i="1"/>
  <c r="J46" i="1" s="1"/>
  <c r="H47" i="1"/>
  <c r="J47" i="1" s="1"/>
  <c r="H48" i="1"/>
  <c r="J48" i="1" s="1"/>
  <c r="H49" i="1"/>
  <c r="L49" i="1" s="1"/>
  <c r="H50" i="1"/>
  <c r="L50" i="1" s="1"/>
  <c r="H51" i="1"/>
  <c r="L51" i="1" s="1"/>
  <c r="H52" i="1"/>
  <c r="L52" i="1" s="1"/>
  <c r="H53" i="1"/>
  <c r="J53" i="1" s="1"/>
  <c r="H54" i="1"/>
  <c r="L54" i="1" s="1"/>
  <c r="H55" i="1"/>
  <c r="L55" i="1" s="1"/>
  <c r="H56" i="1"/>
  <c r="L56" i="1" s="1"/>
  <c r="H57" i="1"/>
  <c r="L57" i="1" s="1"/>
  <c r="H58" i="1"/>
  <c r="H59" i="1"/>
  <c r="H60" i="1"/>
  <c r="H61" i="1"/>
  <c r="H62" i="1"/>
  <c r="H63" i="1"/>
  <c r="L63" i="1" s="1"/>
  <c r="H64" i="1"/>
  <c r="J64" i="1" s="1"/>
  <c r="H65" i="1"/>
  <c r="L65" i="1" s="1"/>
  <c r="H66" i="1"/>
  <c r="L66" i="1" s="1"/>
  <c r="H67" i="1"/>
  <c r="L67" i="1" s="1"/>
  <c r="H68" i="1"/>
  <c r="L68" i="1" s="1"/>
  <c r="H69" i="1"/>
  <c r="L69" i="1" s="1"/>
  <c r="H70" i="1"/>
  <c r="L70" i="1" s="1"/>
  <c r="H71" i="1"/>
  <c r="L71" i="1" s="1"/>
  <c r="H72" i="1"/>
  <c r="J72" i="1" s="1"/>
  <c r="H73" i="1"/>
  <c r="J73" i="1" s="1"/>
  <c r="H74" i="1"/>
  <c r="J74" i="1" s="1"/>
  <c r="H75" i="1"/>
  <c r="L75" i="1" s="1"/>
  <c r="H76" i="1"/>
  <c r="L76" i="1" s="1"/>
  <c r="H77" i="1"/>
  <c r="H78" i="1"/>
  <c r="H79" i="1"/>
  <c r="J79" i="1" s="1"/>
  <c r="H80" i="1"/>
  <c r="J80" i="1" s="1"/>
  <c r="H81" i="1"/>
  <c r="L81" i="1" s="1"/>
  <c r="H82" i="1"/>
  <c r="L82" i="1" s="1"/>
  <c r="H83" i="1"/>
  <c r="L83" i="1" s="1"/>
  <c r="H84" i="1"/>
  <c r="L84" i="1" s="1"/>
  <c r="H85" i="1"/>
  <c r="J85" i="1" s="1"/>
  <c r="H86" i="1"/>
  <c r="J86" i="1" s="1"/>
  <c r="H87" i="1"/>
  <c r="J87" i="1" s="1"/>
  <c r="H88" i="1"/>
  <c r="J88" i="1" s="1"/>
  <c r="H89" i="1"/>
  <c r="L89" i="1" s="1"/>
  <c r="H90" i="1"/>
  <c r="J90" i="1" s="1"/>
  <c r="H91" i="1"/>
  <c r="J91" i="1" s="1"/>
  <c r="H92" i="1"/>
  <c r="J92" i="1" s="1"/>
  <c r="H93" i="1"/>
  <c r="L93" i="1" s="1"/>
  <c r="H94" i="1"/>
  <c r="J94" i="1" s="1"/>
  <c r="H95" i="1"/>
  <c r="L95" i="1" s="1"/>
  <c r="H96" i="1"/>
  <c r="J96" i="1" s="1"/>
  <c r="H97" i="1"/>
  <c r="L97" i="1" s="1"/>
  <c r="H98" i="1"/>
  <c r="L98" i="1" s="1"/>
  <c r="H99" i="1"/>
  <c r="L99" i="1" s="1"/>
  <c r="H100" i="1"/>
  <c r="L100" i="1" s="1"/>
  <c r="H101" i="1"/>
  <c r="L101" i="1" s="1"/>
  <c r="H102" i="1"/>
  <c r="L102" i="1" s="1"/>
  <c r="H103" i="1"/>
  <c r="L103" i="1" s="1"/>
  <c r="H104" i="1"/>
  <c r="L104" i="1" s="1"/>
  <c r="H105" i="1"/>
  <c r="L105" i="1" s="1"/>
  <c r="H106" i="1"/>
  <c r="H107" i="1"/>
  <c r="H108" i="1"/>
  <c r="H109" i="1"/>
  <c r="H110" i="1"/>
  <c r="J110" i="1" s="1"/>
  <c r="H111" i="1"/>
  <c r="L111" i="1" s="1"/>
  <c r="H112" i="1"/>
  <c r="J112" i="1" s="1"/>
  <c r="H113" i="1"/>
  <c r="L113" i="1" s="1"/>
  <c r="H114" i="1"/>
  <c r="L114" i="1" s="1"/>
  <c r="H115" i="1"/>
  <c r="L115" i="1" s="1"/>
  <c r="H116" i="1"/>
  <c r="L116" i="1" s="1"/>
  <c r="H117" i="1"/>
  <c r="L117" i="1" s="1"/>
  <c r="H118" i="1"/>
  <c r="J118" i="1" s="1"/>
  <c r="H119" i="1"/>
  <c r="L119" i="1" s="1"/>
  <c r="H120" i="1"/>
  <c r="L120" i="1" s="1"/>
  <c r="H121" i="1"/>
  <c r="L121" i="1" s="1"/>
  <c r="H122" i="1"/>
  <c r="H123" i="1"/>
  <c r="H124" i="1"/>
  <c r="H125" i="1"/>
  <c r="H126" i="1"/>
  <c r="H127" i="1"/>
  <c r="L127" i="1" s="1"/>
  <c r="H128" i="1"/>
  <c r="J128" i="1" s="1"/>
  <c r="H129" i="1"/>
  <c r="L129" i="1" s="1"/>
  <c r="H130" i="1"/>
  <c r="L130" i="1" s="1"/>
  <c r="H131" i="1"/>
  <c r="L131" i="1" s="1"/>
  <c r="H132" i="1"/>
  <c r="L132" i="1" s="1"/>
  <c r="H133" i="1"/>
  <c r="J133" i="1" s="1"/>
  <c r="H134" i="1"/>
  <c r="J134" i="1" s="1"/>
  <c r="H135" i="1"/>
  <c r="J135" i="1" s="1"/>
  <c r="H136" i="1"/>
  <c r="L136" i="1" s="1"/>
  <c r="H137" i="1"/>
  <c r="J137" i="1" s="1"/>
  <c r="H138" i="1"/>
  <c r="J138" i="1" s="1"/>
  <c r="H139" i="1"/>
  <c r="H140" i="1"/>
  <c r="H141" i="1"/>
  <c r="H142" i="1"/>
  <c r="H143" i="1"/>
  <c r="L143" i="1" s="1"/>
  <c r="H144" i="1"/>
  <c r="J144" i="1" s="1"/>
  <c r="H145" i="1"/>
  <c r="L145" i="1" s="1"/>
  <c r="H146" i="1"/>
  <c r="L146" i="1" s="1"/>
  <c r="H147" i="1"/>
  <c r="L147" i="1" s="1"/>
  <c r="H148" i="1"/>
  <c r="L148" i="1" s="1"/>
  <c r="H149" i="1"/>
  <c r="L149" i="1" s="1"/>
  <c r="H150" i="1"/>
  <c r="L150" i="1" s="1"/>
  <c r="H151" i="1"/>
  <c r="L151" i="1" s="1"/>
  <c r="H152" i="1"/>
  <c r="L152" i="1" s="1"/>
  <c r="I2" i="1"/>
  <c r="M2" i="1" s="1"/>
  <c r="H2" i="1"/>
  <c r="L2" i="1" s="1"/>
  <c r="K56" i="1" l="1"/>
  <c r="M29" i="1"/>
  <c r="K55" i="1"/>
  <c r="M15" i="1"/>
  <c r="K54" i="1"/>
  <c r="M14" i="1"/>
  <c r="K53" i="1"/>
  <c r="M13" i="1"/>
  <c r="K2" i="1"/>
  <c r="K6" i="1"/>
  <c r="K118" i="1"/>
  <c r="K5" i="1"/>
  <c r="K117" i="1"/>
  <c r="K105" i="1"/>
  <c r="M132" i="1"/>
  <c r="K104" i="1"/>
  <c r="M131" i="1"/>
  <c r="K103" i="1"/>
  <c r="K102" i="1"/>
  <c r="K101" i="1"/>
  <c r="K69" i="1"/>
  <c r="K57" i="1"/>
  <c r="M45" i="1"/>
  <c r="J143" i="1"/>
  <c r="J136" i="1"/>
  <c r="L137" i="1"/>
  <c r="L135" i="1"/>
  <c r="L79" i="1"/>
  <c r="L73" i="1"/>
  <c r="L72" i="1"/>
  <c r="J36" i="1"/>
  <c r="J35" i="1"/>
  <c r="J31" i="1"/>
  <c r="J69" i="1"/>
  <c r="K152" i="1"/>
  <c r="M25" i="1"/>
  <c r="K151" i="1"/>
  <c r="J132" i="1"/>
  <c r="L64" i="1"/>
  <c r="J131" i="1"/>
  <c r="K89" i="1"/>
  <c r="L134" i="1"/>
  <c r="J117" i="1"/>
  <c r="J54" i="1"/>
  <c r="K136" i="1"/>
  <c r="K87" i="1"/>
  <c r="K38" i="1"/>
  <c r="L128" i="1"/>
  <c r="L53" i="1"/>
  <c r="K41" i="1"/>
  <c r="M86" i="1"/>
  <c r="M85" i="1"/>
  <c r="L133" i="1"/>
  <c r="J116" i="1"/>
  <c r="K37" i="1"/>
  <c r="J52" i="1"/>
  <c r="L47" i="1"/>
  <c r="J111" i="1"/>
  <c r="K73" i="1"/>
  <c r="M150" i="1"/>
  <c r="J150" i="1"/>
  <c r="J95" i="1"/>
  <c r="K121" i="1"/>
  <c r="K72" i="1"/>
  <c r="K21" i="1"/>
  <c r="L112" i="1"/>
  <c r="M149" i="1"/>
  <c r="M9" i="1"/>
  <c r="M28" i="1"/>
  <c r="M27" i="1"/>
  <c r="M24" i="1"/>
  <c r="M23" i="1"/>
  <c r="K40" i="1"/>
  <c r="J127" i="1"/>
  <c r="K88" i="1"/>
  <c r="M12" i="1"/>
  <c r="J115" i="1"/>
  <c r="L118" i="1"/>
  <c r="M11" i="1"/>
  <c r="K133" i="1"/>
  <c r="M10" i="1"/>
  <c r="J149" i="1"/>
  <c r="J38" i="1"/>
  <c r="K120" i="1"/>
  <c r="K71" i="1"/>
  <c r="K19" i="1"/>
  <c r="M134" i="1"/>
  <c r="M8" i="1"/>
  <c r="J70" i="1"/>
  <c r="J68" i="1"/>
  <c r="M26" i="1"/>
  <c r="J67" i="1"/>
  <c r="K137" i="1"/>
  <c r="K39" i="1"/>
  <c r="M70" i="1"/>
  <c r="K135" i="1"/>
  <c r="L48" i="1"/>
  <c r="J51" i="1"/>
  <c r="K22" i="1"/>
  <c r="J148" i="1"/>
  <c r="J37" i="1"/>
  <c r="K119" i="1"/>
  <c r="K7" i="1"/>
  <c r="L80" i="1"/>
  <c r="M30" i="1"/>
  <c r="L94" i="1"/>
  <c r="J142" i="1"/>
  <c r="L142" i="1"/>
  <c r="J78" i="1"/>
  <c r="L78" i="1"/>
  <c r="L30" i="1"/>
  <c r="J30" i="1"/>
  <c r="J109" i="1"/>
  <c r="L109" i="1"/>
  <c r="M67" i="1"/>
  <c r="L60" i="1"/>
  <c r="J60" i="1"/>
  <c r="K82" i="1"/>
  <c r="M82" i="1"/>
  <c r="J123" i="1"/>
  <c r="L123" i="1"/>
  <c r="J59" i="1"/>
  <c r="L59" i="1"/>
  <c r="K145" i="1"/>
  <c r="M145" i="1"/>
  <c r="M65" i="1"/>
  <c r="K65" i="1"/>
  <c r="K4" i="1"/>
  <c r="J42" i="1"/>
  <c r="L42" i="1"/>
  <c r="M128" i="1"/>
  <c r="K128" i="1"/>
  <c r="K80" i="1"/>
  <c r="M80" i="1"/>
  <c r="M32" i="1"/>
  <c r="K32" i="1"/>
  <c r="M51" i="1"/>
  <c r="L92" i="1"/>
  <c r="L138" i="1"/>
  <c r="L91" i="1"/>
  <c r="L46" i="1"/>
  <c r="M100" i="1"/>
  <c r="J93" i="1"/>
  <c r="L90" i="1"/>
  <c r="M99" i="1"/>
  <c r="M98" i="1"/>
  <c r="M36" i="1"/>
  <c r="M148" i="1"/>
  <c r="M35" i="1"/>
  <c r="L62" i="1"/>
  <c r="J62" i="1"/>
  <c r="M68" i="1"/>
  <c r="L141" i="1"/>
  <c r="J141" i="1"/>
  <c r="J61" i="1"/>
  <c r="L61" i="1"/>
  <c r="L108" i="1"/>
  <c r="J108" i="1"/>
  <c r="J44" i="1"/>
  <c r="L44" i="1"/>
  <c r="K130" i="1"/>
  <c r="M130" i="1"/>
  <c r="K50" i="1"/>
  <c r="M50" i="1"/>
  <c r="L27" i="1"/>
  <c r="J27" i="1"/>
  <c r="K113" i="1"/>
  <c r="M113" i="1"/>
  <c r="K49" i="1"/>
  <c r="M49" i="1"/>
  <c r="L26" i="1"/>
  <c r="J26" i="1"/>
  <c r="K64" i="1"/>
  <c r="M64" i="1"/>
  <c r="M115" i="1"/>
  <c r="J126" i="1"/>
  <c r="L126" i="1"/>
  <c r="L29" i="1"/>
  <c r="J29" i="1"/>
  <c r="L140" i="1"/>
  <c r="J140" i="1"/>
  <c r="L28" i="1"/>
  <c r="J28" i="1"/>
  <c r="M114" i="1"/>
  <c r="K114" i="1"/>
  <c r="L107" i="1"/>
  <c r="J107" i="1"/>
  <c r="J43" i="1"/>
  <c r="L43" i="1"/>
  <c r="M129" i="1"/>
  <c r="K129" i="1"/>
  <c r="L110" i="1"/>
  <c r="M18" i="1"/>
  <c r="L106" i="1"/>
  <c r="J106" i="1"/>
  <c r="J58" i="1"/>
  <c r="L58" i="1"/>
  <c r="K144" i="1"/>
  <c r="M144" i="1"/>
  <c r="K96" i="1"/>
  <c r="M96" i="1"/>
  <c r="M48" i="1"/>
  <c r="K48" i="1"/>
  <c r="M52" i="1"/>
  <c r="M83" i="1"/>
  <c r="L125" i="1"/>
  <c r="J125" i="1"/>
  <c r="J77" i="1"/>
  <c r="L77" i="1"/>
  <c r="J45" i="1"/>
  <c r="L45" i="1"/>
  <c r="J124" i="1"/>
  <c r="L124" i="1"/>
  <c r="K66" i="1"/>
  <c r="M66" i="1"/>
  <c r="L139" i="1"/>
  <c r="J139" i="1"/>
  <c r="K97" i="1"/>
  <c r="M97" i="1"/>
  <c r="M81" i="1"/>
  <c r="K81" i="1"/>
  <c r="M116" i="1"/>
  <c r="L122" i="1"/>
  <c r="J122" i="1"/>
  <c r="M112" i="1"/>
  <c r="K112" i="1"/>
  <c r="K3" i="1"/>
  <c r="M17" i="1"/>
  <c r="M16" i="1"/>
  <c r="J76" i="1"/>
  <c r="L74" i="1"/>
  <c r="M147" i="1"/>
  <c r="J75" i="1"/>
  <c r="M146" i="1"/>
  <c r="M84" i="1"/>
  <c r="K20" i="1"/>
  <c r="M111" i="1"/>
  <c r="M47" i="1"/>
  <c r="L86" i="1"/>
  <c r="M126" i="1"/>
  <c r="M78" i="1"/>
  <c r="M62" i="1"/>
  <c r="L41" i="1"/>
  <c r="M93" i="1"/>
  <c r="M77" i="1"/>
  <c r="J104" i="1"/>
  <c r="K127" i="1"/>
  <c r="M140" i="1"/>
  <c r="M76" i="1"/>
  <c r="J103" i="1"/>
  <c r="J21" i="1"/>
  <c r="M107" i="1"/>
  <c r="L88" i="1"/>
  <c r="M143" i="1"/>
  <c r="M95" i="1"/>
  <c r="M63" i="1"/>
  <c r="M110" i="1"/>
  <c r="M141" i="1"/>
  <c r="M109" i="1"/>
  <c r="M61" i="1"/>
  <c r="J25" i="1"/>
  <c r="L40" i="1"/>
  <c r="M108" i="1"/>
  <c r="M44" i="1"/>
  <c r="K94" i="1"/>
  <c r="M139" i="1"/>
  <c r="M43" i="1"/>
  <c r="J121" i="1"/>
  <c r="J102" i="1"/>
  <c r="J83" i="1"/>
  <c r="J20" i="1"/>
  <c r="K125" i="1"/>
  <c r="L19" i="1"/>
  <c r="M138" i="1"/>
  <c r="M122" i="1"/>
  <c r="M106" i="1"/>
  <c r="M90" i="1"/>
  <c r="M74" i="1"/>
  <c r="M58" i="1"/>
  <c r="M42" i="1"/>
  <c r="M124" i="1"/>
  <c r="K46" i="1"/>
  <c r="M75" i="1"/>
  <c r="J120" i="1"/>
  <c r="J101" i="1"/>
  <c r="K92" i="1"/>
  <c r="K60" i="1"/>
  <c r="J89" i="1"/>
  <c r="L87" i="1"/>
  <c r="M79" i="1"/>
  <c r="M142" i="1"/>
  <c r="J105" i="1"/>
  <c r="L85" i="1"/>
  <c r="J84" i="1"/>
  <c r="M123" i="1"/>
  <c r="M91" i="1"/>
  <c r="J119" i="1"/>
  <c r="J100" i="1"/>
  <c r="J5" i="1"/>
  <c r="K59" i="1"/>
  <c r="L96" i="1"/>
  <c r="K31" i="1"/>
  <c r="J99" i="1"/>
  <c r="J39" i="1"/>
  <c r="J3" i="1"/>
  <c r="J15" i="1"/>
  <c r="L17" i="1"/>
  <c r="J146" i="1"/>
  <c r="J130" i="1"/>
  <c r="J114" i="1"/>
  <c r="J98" i="1"/>
  <c r="J82" i="1"/>
  <c r="J66" i="1"/>
  <c r="J50" i="1"/>
  <c r="J34" i="1"/>
  <c r="J14" i="1"/>
  <c r="J18" i="1"/>
  <c r="J145" i="1"/>
  <c r="J129" i="1"/>
  <c r="J113" i="1"/>
  <c r="J97" i="1"/>
  <c r="J81" i="1"/>
  <c r="J65" i="1"/>
  <c r="J49" i="1"/>
  <c r="J33" i="1"/>
  <c r="J13" i="1"/>
  <c r="J32" i="1"/>
  <c r="J12" i="1"/>
  <c r="J9" i="1"/>
  <c r="J8" i="1"/>
  <c r="J7" i="1"/>
  <c r="J6" i="1"/>
  <c r="L22" i="1"/>
  <c r="L23" i="1"/>
  <c r="L24" i="1"/>
  <c r="L16" i="1"/>
  <c r="L10" i="1"/>
  <c r="L11" i="1"/>
  <c r="O4" i="1"/>
  <c r="J4" i="1"/>
  <c r="L4" i="1"/>
  <c r="M34" i="1"/>
  <c r="M33" i="1"/>
  <c r="P4" i="1"/>
  <c r="P8" i="1" l="1" a="1"/>
  <c r="P8" i="1" s="1"/>
  <c r="P6" i="1"/>
  <c r="P2" i="1"/>
  <c r="O6" i="1"/>
  <c r="O8" i="1" a="1"/>
  <c r="O8" i="1" s="1"/>
  <c r="O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tc={5BF58895-24E8-43A4-B3DC-19CF8797CF09}</author>
  </authors>
  <commentList>
    <comment ref="K1" authorId="0" shapeId="0" xr:uid="{5BF58895-24E8-43A4-B3DC-19CF8797CF0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qué tanto se equivocó, sin importar si fue hacia arriba o hacia abajo. 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<sst xmlns="http://schemas.openxmlformats.org/spreadsheetml/2006/main" count="33" uniqueCount="27">
  <si>
    <t>tiempo_seg</t>
  </si>
  <si>
    <t>tiempo_mmss</t>
  </si>
  <si>
    <t>conteo_humano</t>
  </si>
  <si>
    <t>conteo_modelo YOLO</t>
  </si>
  <si>
    <t>Conteo_modelo TRANSFORMER</t>
  </si>
  <si>
    <t>error YOLO</t>
  </si>
  <si>
    <t>error TRANSFORMER</t>
  </si>
  <si>
    <t>error_abs YOLO</t>
  </si>
  <si>
    <t>error_abs TRANSFORMER</t>
  </si>
  <si>
    <t>error_cuadrado YOLO</t>
  </si>
  <si>
    <t>error_cuadrado TRANSFORMER</t>
  </si>
  <si>
    <t>MAE (Error Absoluto Medio)</t>
  </si>
  <si>
    <t>Sesgo (Error medio con signo)</t>
  </si>
  <si>
    <t>Si es negativo el modelo tiende a subcontar.</t>
  </si>
  <si>
    <t>RMSE (Error cuadrático medio y su raíz)</t>
  </si>
  <si>
    <t>YOLO</t>
  </si>
  <si>
    <t>TRANSFORMER</t>
  </si>
  <si>
    <t>RMSE da una idea del tamaño típico de los errores grandes.</t>
  </si>
  <si>
    <t>53% de los segundos el modelo acertó el conteo exacto.</t>
  </si>
  <si>
    <t>En promedio, el modelo se equivoca en 5,4 personas por cada dos segundos.</t>
  </si>
  <si>
    <t>Exactitud de conteo con tolerancia +-5</t>
  </si>
  <si>
    <t>YOLOv11</t>
  </si>
  <si>
    <t>En promedio, el modelo se equivoca en 5 personas por cada dos segundos</t>
  </si>
  <si>
    <r>
      <t xml:space="preserve">Ambos modelos </t>
    </r>
    <r>
      <rPr>
        <b/>
        <sz val="11"/>
        <color theme="1"/>
        <rFont val="Aptos Narrow"/>
        <family val="2"/>
        <scheme val="minor"/>
      </rPr>
      <t>tienden a subcontar</t>
    </r>
    <r>
      <rPr>
        <sz val="11"/>
        <color theme="1"/>
        <rFont val="Aptos Narrow"/>
        <family val="2"/>
        <scheme val="minor"/>
      </rPr>
      <t xml:space="preserve"> (sesgo negativo), probablemente por oclusiones y reflejos.</t>
    </r>
  </si>
  <si>
    <r>
      <t xml:space="preserve">A pesar del error, capturan </t>
    </r>
    <r>
      <rPr>
        <b/>
        <sz val="11"/>
        <color theme="1"/>
        <rFont val="Aptos Narrow"/>
        <family val="2"/>
        <scheme val="minor"/>
      </rPr>
      <t>tendencias de aforo útil</t>
    </r>
    <r>
      <rPr>
        <sz val="11"/>
        <color theme="1"/>
        <rFont val="Aptos Narrow"/>
        <family val="2"/>
        <scheme val="minor"/>
      </rPr>
      <t xml:space="preserve"> para turnos y promociones.</t>
    </r>
  </si>
  <si>
    <t>OBSERVACIONES</t>
  </si>
  <si>
    <t>METRICA / MODELO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</si>
</sst>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vertical="center" wrapText="1"/>
    </xf>
    <xf numFmtId="20" fontId="0" fillId="0" borderId="0" xfId="0" applyNumberFormat="1" applyAlignment="1">
      <alignment vertical="center" wrapText="1"/>
    </xf>
    <xf numFmtId="20" fontId="0" fillId="0" borderId="0" xfId="0" applyNumberFormat="1"/>
    <xf numFmtId="0" fontId="2" fillId="0" borderId="0" xfId="0" applyFont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5" fillId="0" borderId="0" xfId="0" applyFont="1" applyAlignment="1">
      <alignment vertical="center" wrapText="1"/>
    </xf>
    <xf numFmtId="0" fontId="0" fillId="2" borderId="0" xfId="0" applyFill="1"/>
    <xf numFmtId="0" fontId="6" fillId="0" borderId="0" xfId="0" applyFont="1" applyAlignment="1">
      <alignment vertical="center" wrapText="1"/>
    </xf>
    <xf numFmtId="0" fontId="5" fillId="0" borderId="0" xfId="0" applyFont="1"/>
    <xf numFmtId="0" fontId="2" fillId="2" borderId="0" xfId="0" applyFont="1" applyFill="1" applyAlignment="1">
      <alignment vertical="center" wrapText="1"/>
    </xf>
    <xf numFmtId="9" fontId="0" fillId="2" borderId="0" xfId="2" applyFont="1" applyFill="1" applyAlignment="1">
      <alignment vertical="center" wrapText="1"/>
    </xf>
    <xf numFmtId="43" fontId="0" fillId="2" borderId="0" xfId="1" applyFont="1" applyFill="1" applyAlignment="1">
      <alignment vertical="center" wrapText="1"/>
    </xf>
    <xf numFmtId="0" fontId="7" fillId="0" borderId="0" xfId="0" applyFont="1"/>
    <xf numFmtId="0" fontId="0" fillId="0" borderId="1" xfId="0" applyBorder="1" applyAlignment="1">
      <alignment wrapText="1"/>
    </xf>
    <xf numFmtId="10" fontId="0" fillId="0" borderId="1" xfId="0" applyNumberFormat="1" applyBorder="1" applyAlignment="1">
      <alignment wrapText="1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 vertical="top" wrapText="1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baseline="0"/>
              <a:t>conteo_humano vs conteo_modelos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Hoja1!$E$1</c:f>
              <c:strCache>
                <c:ptCount val="1"/>
                <c:pt idx="0">
                  <c:v>conteo_humano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Hoja1!$D$2:$D$152</c:f>
              <c:numCache>
                <c:formatCode>h:mm</c:formatCode>
                <c:ptCount val="151"/>
                <c:pt idx="0">
                  <c:v>0</c:v>
                </c:pt>
                <c:pt idx="1">
                  <c:v>1.3888888888888889E-3</c:v>
                </c:pt>
                <c:pt idx="2">
                  <c:v>2.7777777777777779E-3</c:v>
                </c:pt>
                <c:pt idx="3">
                  <c:v>4.1666666666666701E-3</c:v>
                </c:pt>
                <c:pt idx="4">
                  <c:v>5.5555555555555601E-3</c:v>
                </c:pt>
                <c:pt idx="5">
                  <c:v>6.9444444444444397E-3</c:v>
                </c:pt>
                <c:pt idx="6">
                  <c:v>8.3333333333333297E-3</c:v>
                </c:pt>
                <c:pt idx="7">
                  <c:v>9.7222222222222206E-3</c:v>
                </c:pt>
                <c:pt idx="8">
                  <c:v>1.1111111111111099E-2</c:v>
                </c:pt>
                <c:pt idx="9">
                  <c:v>1.2500000000000001E-2</c:v>
                </c:pt>
                <c:pt idx="10">
                  <c:v>1.38888888888889E-2</c:v>
                </c:pt>
                <c:pt idx="11">
                  <c:v>1.52777777777778E-2</c:v>
                </c:pt>
                <c:pt idx="12">
                  <c:v>1.6666666666666701E-2</c:v>
                </c:pt>
                <c:pt idx="13">
                  <c:v>1.8055555555555599E-2</c:v>
                </c:pt>
                <c:pt idx="14">
                  <c:v>1.94444444444444E-2</c:v>
                </c:pt>
                <c:pt idx="15">
                  <c:v>2.0833333333333301E-2</c:v>
                </c:pt>
                <c:pt idx="16">
                  <c:v>2.2222222222222199E-2</c:v>
                </c:pt>
                <c:pt idx="17">
                  <c:v>2.36111111111111E-2</c:v>
                </c:pt>
                <c:pt idx="18">
                  <c:v>2.5000000000000001E-2</c:v>
                </c:pt>
                <c:pt idx="19">
                  <c:v>2.6388888888888899E-2</c:v>
                </c:pt>
                <c:pt idx="20">
                  <c:v>2.7777777777777801E-2</c:v>
                </c:pt>
                <c:pt idx="21">
                  <c:v>2.9166666666666698E-2</c:v>
                </c:pt>
                <c:pt idx="22">
                  <c:v>3.05555555555556E-2</c:v>
                </c:pt>
                <c:pt idx="23">
                  <c:v>3.19444444444444E-2</c:v>
                </c:pt>
                <c:pt idx="24">
                  <c:v>3.3333333333333298E-2</c:v>
                </c:pt>
                <c:pt idx="25">
                  <c:v>3.4722222222222203E-2</c:v>
                </c:pt>
                <c:pt idx="26">
                  <c:v>3.6111111111111101E-2</c:v>
                </c:pt>
                <c:pt idx="27">
                  <c:v>3.7499999999999999E-2</c:v>
                </c:pt>
                <c:pt idx="28">
                  <c:v>3.8888888888888903E-2</c:v>
                </c:pt>
                <c:pt idx="29">
                  <c:v>4.0277777777777801E-2</c:v>
                </c:pt>
                <c:pt idx="30">
                  <c:v>4.1666666666666699E-2</c:v>
                </c:pt>
                <c:pt idx="31">
                  <c:v>4.3055555555555597E-2</c:v>
                </c:pt>
                <c:pt idx="32">
                  <c:v>4.4444444444444398E-2</c:v>
                </c:pt>
                <c:pt idx="33">
                  <c:v>4.5833333333333302E-2</c:v>
                </c:pt>
                <c:pt idx="34">
                  <c:v>4.72222222222222E-2</c:v>
                </c:pt>
                <c:pt idx="35">
                  <c:v>4.8611111111111098E-2</c:v>
                </c:pt>
                <c:pt idx="36">
                  <c:v>0.05</c:v>
                </c:pt>
                <c:pt idx="37">
                  <c:v>5.1388888888888901E-2</c:v>
                </c:pt>
                <c:pt idx="38">
                  <c:v>5.2777777777777798E-2</c:v>
                </c:pt>
                <c:pt idx="39">
                  <c:v>5.4166666666666703E-2</c:v>
                </c:pt>
                <c:pt idx="40">
                  <c:v>5.5555555555555601E-2</c:v>
                </c:pt>
                <c:pt idx="41">
                  <c:v>5.6944444444444402E-2</c:v>
                </c:pt>
                <c:pt idx="42">
                  <c:v>5.83333333333333E-2</c:v>
                </c:pt>
                <c:pt idx="43">
                  <c:v>5.9722222222222197E-2</c:v>
                </c:pt>
                <c:pt idx="44">
                  <c:v>6.1111111111111102E-2</c:v>
                </c:pt>
                <c:pt idx="45">
                  <c:v>6.25E-2</c:v>
                </c:pt>
                <c:pt idx="46">
                  <c:v>6.3888888888888898E-2</c:v>
                </c:pt>
                <c:pt idx="47">
                  <c:v>6.5277777777777796E-2</c:v>
                </c:pt>
                <c:pt idx="48">
                  <c:v>6.6666666666666693E-2</c:v>
                </c:pt>
                <c:pt idx="49">
                  <c:v>6.8055555555555605E-2</c:v>
                </c:pt>
                <c:pt idx="50">
                  <c:v>6.9444444444444406E-2</c:v>
                </c:pt>
                <c:pt idx="51">
                  <c:v>7.0833333333333304E-2</c:v>
                </c:pt>
                <c:pt idx="52">
                  <c:v>7.2222222222222202E-2</c:v>
                </c:pt>
                <c:pt idx="53">
                  <c:v>7.3611111111111099E-2</c:v>
                </c:pt>
                <c:pt idx="54">
                  <c:v>7.4999999999999997E-2</c:v>
                </c:pt>
                <c:pt idx="55">
                  <c:v>7.6388888888888895E-2</c:v>
                </c:pt>
                <c:pt idx="56">
                  <c:v>7.7777777777777807E-2</c:v>
                </c:pt>
                <c:pt idx="57">
                  <c:v>7.9166666666666705E-2</c:v>
                </c:pt>
                <c:pt idx="58">
                  <c:v>8.0555555555555602E-2</c:v>
                </c:pt>
                <c:pt idx="59">
                  <c:v>8.1944444444444403E-2</c:v>
                </c:pt>
                <c:pt idx="60">
                  <c:v>8.3333333333333301E-2</c:v>
                </c:pt>
                <c:pt idx="61">
                  <c:v>8.4722222222222199E-2</c:v>
                </c:pt>
                <c:pt idx="62">
                  <c:v>8.6111111111111097E-2</c:v>
                </c:pt>
                <c:pt idx="63">
                  <c:v>8.7499999999999994E-2</c:v>
                </c:pt>
                <c:pt idx="64">
                  <c:v>8.8888888888888906E-2</c:v>
                </c:pt>
                <c:pt idx="65">
                  <c:v>9.0277777777777804E-2</c:v>
                </c:pt>
                <c:pt idx="66">
                  <c:v>9.1666666666666702E-2</c:v>
                </c:pt>
                <c:pt idx="67">
                  <c:v>9.30555555555556E-2</c:v>
                </c:pt>
                <c:pt idx="68">
                  <c:v>9.44444444444444E-2</c:v>
                </c:pt>
                <c:pt idx="69">
                  <c:v>9.5833333333333298E-2</c:v>
                </c:pt>
                <c:pt idx="70">
                  <c:v>9.7222222222222196E-2</c:v>
                </c:pt>
                <c:pt idx="71">
                  <c:v>9.8611111111111094E-2</c:v>
                </c:pt>
                <c:pt idx="72">
                  <c:v>0.1</c:v>
                </c:pt>
                <c:pt idx="73">
                  <c:v>0.101388888888889</c:v>
                </c:pt>
                <c:pt idx="74">
                  <c:v>0.102777777777778</c:v>
                </c:pt>
                <c:pt idx="75">
                  <c:v>0.104166666666667</c:v>
                </c:pt>
                <c:pt idx="76">
                  <c:v>0.105555555555556</c:v>
                </c:pt>
                <c:pt idx="77">
                  <c:v>0.10694444444444499</c:v>
                </c:pt>
                <c:pt idx="78">
                  <c:v>0.108333333333334</c:v>
                </c:pt>
                <c:pt idx="79">
                  <c:v>0.109722222222222</c:v>
                </c:pt>
                <c:pt idx="80">
                  <c:v>0.11111111111111099</c:v>
                </c:pt>
                <c:pt idx="81">
                  <c:v>0.1125</c:v>
                </c:pt>
                <c:pt idx="82">
                  <c:v>0.113888888888889</c:v>
                </c:pt>
                <c:pt idx="83">
                  <c:v>0.11527777777777801</c:v>
                </c:pt>
                <c:pt idx="84">
                  <c:v>0.116666666666667</c:v>
                </c:pt>
                <c:pt idx="85">
                  <c:v>0.118055555555556</c:v>
                </c:pt>
                <c:pt idx="86">
                  <c:v>0.11944444444444501</c:v>
                </c:pt>
                <c:pt idx="87">
                  <c:v>0.120833333333334</c:v>
                </c:pt>
                <c:pt idx="88">
                  <c:v>0.122222222222222</c:v>
                </c:pt>
                <c:pt idx="89">
                  <c:v>0.12361111111111101</c:v>
                </c:pt>
                <c:pt idx="90">
                  <c:v>0.125</c:v>
                </c:pt>
                <c:pt idx="91">
                  <c:v>0.12638888888888899</c:v>
                </c:pt>
                <c:pt idx="92">
                  <c:v>0.12777777777777799</c:v>
                </c:pt>
                <c:pt idx="93">
                  <c:v>0.12916666666666701</c:v>
                </c:pt>
                <c:pt idx="94">
                  <c:v>0.13055555555555601</c:v>
                </c:pt>
                <c:pt idx="95">
                  <c:v>0.131944444444445</c:v>
                </c:pt>
                <c:pt idx="96">
                  <c:v>0.133333333333334</c:v>
                </c:pt>
                <c:pt idx="97">
                  <c:v>0.13472222222222199</c:v>
                </c:pt>
                <c:pt idx="98">
                  <c:v>0.13611111111111099</c:v>
                </c:pt>
                <c:pt idx="99">
                  <c:v>0.13750000000000001</c:v>
                </c:pt>
                <c:pt idx="100">
                  <c:v>0.13888888888888901</c:v>
                </c:pt>
                <c:pt idx="101">
                  <c:v>0.140277777777778</c:v>
                </c:pt>
                <c:pt idx="102">
                  <c:v>0.141666666666667</c:v>
                </c:pt>
                <c:pt idx="103">
                  <c:v>0.14305555555555599</c:v>
                </c:pt>
                <c:pt idx="104">
                  <c:v>0.14444444444444501</c:v>
                </c:pt>
                <c:pt idx="105">
                  <c:v>0.14583333333333401</c:v>
                </c:pt>
                <c:pt idx="106">
                  <c:v>0.147222222222223</c:v>
                </c:pt>
                <c:pt idx="107">
                  <c:v>0.148611111111111</c:v>
                </c:pt>
                <c:pt idx="108">
                  <c:v>0.15</c:v>
                </c:pt>
                <c:pt idx="109">
                  <c:v>0.15138888888888899</c:v>
                </c:pt>
                <c:pt idx="110">
                  <c:v>0.15277777777777801</c:v>
                </c:pt>
                <c:pt idx="111">
                  <c:v>0.15416666666666701</c:v>
                </c:pt>
                <c:pt idx="112">
                  <c:v>0.155555555555556</c:v>
                </c:pt>
                <c:pt idx="113">
                  <c:v>0.156944444444445</c:v>
                </c:pt>
                <c:pt idx="114">
                  <c:v>0.15833333333333399</c:v>
                </c:pt>
                <c:pt idx="115">
                  <c:v>0.15972222222222299</c:v>
                </c:pt>
                <c:pt idx="116">
                  <c:v>0.16111111111111201</c:v>
                </c:pt>
                <c:pt idx="117">
                  <c:v>0.162500000000001</c:v>
                </c:pt>
                <c:pt idx="118">
                  <c:v>0.163888888888889</c:v>
                </c:pt>
                <c:pt idx="119">
                  <c:v>0.165277777777778</c:v>
                </c:pt>
                <c:pt idx="120">
                  <c:v>0.16666666666666699</c:v>
                </c:pt>
                <c:pt idx="121">
                  <c:v>0.16805555555555601</c:v>
                </c:pt>
                <c:pt idx="122">
                  <c:v>0.16944444444444501</c:v>
                </c:pt>
                <c:pt idx="123">
                  <c:v>0.170833333333334</c:v>
                </c:pt>
                <c:pt idx="124">
                  <c:v>0.172222222222223</c:v>
                </c:pt>
                <c:pt idx="125">
                  <c:v>0.17361111111111199</c:v>
                </c:pt>
                <c:pt idx="126">
                  <c:v>0.17500000000000099</c:v>
                </c:pt>
                <c:pt idx="127">
                  <c:v>0.17638888888888901</c:v>
                </c:pt>
                <c:pt idx="128">
                  <c:v>0.17777777777777801</c:v>
                </c:pt>
                <c:pt idx="129">
                  <c:v>0.179166666666667</c:v>
                </c:pt>
                <c:pt idx="130">
                  <c:v>0.180555555555556</c:v>
                </c:pt>
                <c:pt idx="131">
                  <c:v>0.18194444444444499</c:v>
                </c:pt>
                <c:pt idx="132">
                  <c:v>0.18333333333333399</c:v>
                </c:pt>
                <c:pt idx="133">
                  <c:v>0.18472222222222301</c:v>
                </c:pt>
                <c:pt idx="134">
                  <c:v>0.186111111111112</c:v>
                </c:pt>
                <c:pt idx="135">
                  <c:v>0.1875</c:v>
                </c:pt>
                <c:pt idx="136">
                  <c:v>0.18888888888888899</c:v>
                </c:pt>
                <c:pt idx="137">
                  <c:v>0.19027777777777799</c:v>
                </c:pt>
                <c:pt idx="138">
                  <c:v>0.19166666666666701</c:v>
                </c:pt>
                <c:pt idx="139">
                  <c:v>0.19305555555555601</c:v>
                </c:pt>
                <c:pt idx="140">
                  <c:v>0.194444444444445</c:v>
                </c:pt>
                <c:pt idx="141">
                  <c:v>0.195833333333334</c:v>
                </c:pt>
                <c:pt idx="142">
                  <c:v>0.19722222222222299</c:v>
                </c:pt>
                <c:pt idx="143">
                  <c:v>0.19861111111111199</c:v>
                </c:pt>
                <c:pt idx="144">
                  <c:v>0.20000000000000101</c:v>
                </c:pt>
                <c:pt idx="145">
                  <c:v>0.20138888888888901</c:v>
                </c:pt>
                <c:pt idx="146">
                  <c:v>0.202777777777778</c:v>
                </c:pt>
                <c:pt idx="147">
                  <c:v>0.204166666666667</c:v>
                </c:pt>
                <c:pt idx="148">
                  <c:v>0.20555555555555599</c:v>
                </c:pt>
                <c:pt idx="149">
                  <c:v>0.20694444444444501</c:v>
                </c:pt>
                <c:pt idx="150">
                  <c:v>0.20833333333333401</c:v>
                </c:pt>
              </c:numCache>
            </c:numRef>
          </c:cat>
          <c:val>
            <c:numRef>
              <c:f>Hoja1!$E$2:$E$152</c:f>
              <c:numCache>
                <c:formatCode>General</c:formatCode>
                <c:ptCount val="151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16</c:v>
                </c:pt>
                <c:pt idx="26">
                  <c:v>17</c:v>
                </c:pt>
                <c:pt idx="27">
                  <c:v>16</c:v>
                </c:pt>
                <c:pt idx="28">
                  <c:v>16</c:v>
                </c:pt>
                <c:pt idx="29">
                  <c:v>16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17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18</c:v>
                </c:pt>
                <c:pt idx="40">
                  <c:v>18</c:v>
                </c:pt>
                <c:pt idx="41">
                  <c:v>18</c:v>
                </c:pt>
                <c:pt idx="42">
                  <c:v>18</c:v>
                </c:pt>
                <c:pt idx="43">
                  <c:v>17</c:v>
                </c:pt>
                <c:pt idx="44">
                  <c:v>17</c:v>
                </c:pt>
                <c:pt idx="45">
                  <c:v>17</c:v>
                </c:pt>
                <c:pt idx="46">
                  <c:v>17</c:v>
                </c:pt>
                <c:pt idx="47">
                  <c:v>17</c:v>
                </c:pt>
                <c:pt idx="48">
                  <c:v>17</c:v>
                </c:pt>
                <c:pt idx="49">
                  <c:v>17</c:v>
                </c:pt>
                <c:pt idx="50">
                  <c:v>17</c:v>
                </c:pt>
                <c:pt idx="51">
                  <c:v>17</c:v>
                </c:pt>
                <c:pt idx="52">
                  <c:v>17</c:v>
                </c:pt>
                <c:pt idx="53">
                  <c:v>17</c:v>
                </c:pt>
                <c:pt idx="54">
                  <c:v>17</c:v>
                </c:pt>
                <c:pt idx="55">
                  <c:v>17</c:v>
                </c:pt>
                <c:pt idx="56">
                  <c:v>17</c:v>
                </c:pt>
                <c:pt idx="57">
                  <c:v>17</c:v>
                </c:pt>
                <c:pt idx="58">
                  <c:v>17</c:v>
                </c:pt>
                <c:pt idx="59">
                  <c:v>17</c:v>
                </c:pt>
                <c:pt idx="60">
                  <c:v>17</c:v>
                </c:pt>
                <c:pt idx="61">
                  <c:v>16</c:v>
                </c:pt>
                <c:pt idx="62">
                  <c:v>16</c:v>
                </c:pt>
                <c:pt idx="63">
                  <c:v>16</c:v>
                </c:pt>
                <c:pt idx="64">
                  <c:v>18</c:v>
                </c:pt>
                <c:pt idx="65">
                  <c:v>18</c:v>
                </c:pt>
                <c:pt idx="66">
                  <c:v>18</c:v>
                </c:pt>
                <c:pt idx="67">
                  <c:v>18</c:v>
                </c:pt>
                <c:pt idx="68">
                  <c:v>17</c:v>
                </c:pt>
                <c:pt idx="69">
                  <c:v>16</c:v>
                </c:pt>
                <c:pt idx="70">
                  <c:v>16</c:v>
                </c:pt>
                <c:pt idx="71">
                  <c:v>16</c:v>
                </c:pt>
                <c:pt idx="72">
                  <c:v>17</c:v>
                </c:pt>
                <c:pt idx="73">
                  <c:v>17</c:v>
                </c:pt>
                <c:pt idx="74">
                  <c:v>17</c:v>
                </c:pt>
                <c:pt idx="75">
                  <c:v>16</c:v>
                </c:pt>
                <c:pt idx="76">
                  <c:v>16</c:v>
                </c:pt>
                <c:pt idx="77">
                  <c:v>16</c:v>
                </c:pt>
                <c:pt idx="78">
                  <c:v>16</c:v>
                </c:pt>
                <c:pt idx="79">
                  <c:v>16</c:v>
                </c:pt>
                <c:pt idx="80">
                  <c:v>17</c:v>
                </c:pt>
                <c:pt idx="81">
                  <c:v>17</c:v>
                </c:pt>
                <c:pt idx="82">
                  <c:v>17</c:v>
                </c:pt>
                <c:pt idx="83">
                  <c:v>16</c:v>
                </c:pt>
                <c:pt idx="84">
                  <c:v>16</c:v>
                </c:pt>
                <c:pt idx="85">
                  <c:v>17</c:v>
                </c:pt>
                <c:pt idx="86">
                  <c:v>17</c:v>
                </c:pt>
                <c:pt idx="87">
                  <c:v>17</c:v>
                </c:pt>
                <c:pt idx="88">
                  <c:v>17</c:v>
                </c:pt>
                <c:pt idx="89">
                  <c:v>17</c:v>
                </c:pt>
                <c:pt idx="90">
                  <c:v>17</c:v>
                </c:pt>
                <c:pt idx="91">
                  <c:v>18</c:v>
                </c:pt>
                <c:pt idx="92">
                  <c:v>18</c:v>
                </c:pt>
                <c:pt idx="93">
                  <c:v>16</c:v>
                </c:pt>
                <c:pt idx="94">
                  <c:v>18</c:v>
                </c:pt>
                <c:pt idx="95">
                  <c:v>18</c:v>
                </c:pt>
                <c:pt idx="96">
                  <c:v>18</c:v>
                </c:pt>
                <c:pt idx="97">
                  <c:v>18</c:v>
                </c:pt>
                <c:pt idx="98">
                  <c:v>18</c:v>
                </c:pt>
                <c:pt idx="99">
                  <c:v>18</c:v>
                </c:pt>
                <c:pt idx="100">
                  <c:v>18</c:v>
                </c:pt>
                <c:pt idx="101">
                  <c:v>17</c:v>
                </c:pt>
                <c:pt idx="102">
                  <c:v>17</c:v>
                </c:pt>
                <c:pt idx="103">
                  <c:v>17</c:v>
                </c:pt>
                <c:pt idx="104">
                  <c:v>17</c:v>
                </c:pt>
                <c:pt idx="105">
                  <c:v>17</c:v>
                </c:pt>
                <c:pt idx="106">
                  <c:v>17</c:v>
                </c:pt>
                <c:pt idx="107">
                  <c:v>17</c:v>
                </c:pt>
                <c:pt idx="108">
                  <c:v>17</c:v>
                </c:pt>
                <c:pt idx="109">
                  <c:v>17</c:v>
                </c:pt>
                <c:pt idx="110">
                  <c:v>18</c:v>
                </c:pt>
                <c:pt idx="111">
                  <c:v>18</c:v>
                </c:pt>
                <c:pt idx="112">
                  <c:v>17</c:v>
                </c:pt>
                <c:pt idx="113">
                  <c:v>17</c:v>
                </c:pt>
                <c:pt idx="114">
                  <c:v>17</c:v>
                </c:pt>
                <c:pt idx="115">
                  <c:v>17</c:v>
                </c:pt>
                <c:pt idx="116">
                  <c:v>16</c:v>
                </c:pt>
                <c:pt idx="117">
                  <c:v>16</c:v>
                </c:pt>
                <c:pt idx="118">
                  <c:v>16</c:v>
                </c:pt>
                <c:pt idx="119">
                  <c:v>17</c:v>
                </c:pt>
                <c:pt idx="120">
                  <c:v>17</c:v>
                </c:pt>
                <c:pt idx="121">
                  <c:v>17</c:v>
                </c:pt>
                <c:pt idx="122">
                  <c:v>17</c:v>
                </c:pt>
                <c:pt idx="123">
                  <c:v>17</c:v>
                </c:pt>
                <c:pt idx="124">
                  <c:v>17</c:v>
                </c:pt>
                <c:pt idx="125">
                  <c:v>16</c:v>
                </c:pt>
                <c:pt idx="126">
                  <c:v>16</c:v>
                </c:pt>
                <c:pt idx="127">
                  <c:v>16</c:v>
                </c:pt>
                <c:pt idx="128">
                  <c:v>16</c:v>
                </c:pt>
                <c:pt idx="129">
                  <c:v>16</c:v>
                </c:pt>
                <c:pt idx="130">
                  <c:v>16</c:v>
                </c:pt>
                <c:pt idx="131">
                  <c:v>16</c:v>
                </c:pt>
                <c:pt idx="132">
                  <c:v>16</c:v>
                </c:pt>
                <c:pt idx="133">
                  <c:v>17</c:v>
                </c:pt>
                <c:pt idx="134">
                  <c:v>17</c:v>
                </c:pt>
                <c:pt idx="135">
                  <c:v>18</c:v>
                </c:pt>
                <c:pt idx="136">
                  <c:v>18</c:v>
                </c:pt>
                <c:pt idx="137">
                  <c:v>17</c:v>
                </c:pt>
                <c:pt idx="138">
                  <c:v>17</c:v>
                </c:pt>
                <c:pt idx="139">
                  <c:v>17</c:v>
                </c:pt>
                <c:pt idx="140">
                  <c:v>17</c:v>
                </c:pt>
                <c:pt idx="141">
                  <c:v>17</c:v>
                </c:pt>
                <c:pt idx="142">
                  <c:v>17</c:v>
                </c:pt>
                <c:pt idx="143">
                  <c:v>16</c:v>
                </c:pt>
                <c:pt idx="144">
                  <c:v>16</c:v>
                </c:pt>
                <c:pt idx="145">
                  <c:v>16</c:v>
                </c:pt>
                <c:pt idx="146">
                  <c:v>16</c:v>
                </c:pt>
                <c:pt idx="147">
                  <c:v>16</c:v>
                </c:pt>
                <c:pt idx="148">
                  <c:v>16</c:v>
                </c:pt>
                <c:pt idx="149">
                  <c:v>16</c:v>
                </c:pt>
                <c:pt idx="150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54-4804-BFBF-F373C6ECAE0F}"/>
            </c:ext>
          </c:extLst>
        </c:ser>
        <c:ser>
          <c:idx val="1"/>
          <c:order val="1"/>
          <c:tx>
            <c:strRef>
              <c:f>Hoja1!$F$1</c:f>
              <c:strCache>
                <c:ptCount val="1"/>
                <c:pt idx="0">
                  <c:v>conteo_modelo YOLO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Hoja1!$D$2:$D$152</c:f>
              <c:numCache>
                <c:formatCode>h:mm</c:formatCode>
                <c:ptCount val="151"/>
                <c:pt idx="0">
                  <c:v>0</c:v>
                </c:pt>
                <c:pt idx="1">
                  <c:v>1.3888888888888889E-3</c:v>
                </c:pt>
                <c:pt idx="2">
                  <c:v>2.7777777777777779E-3</c:v>
                </c:pt>
                <c:pt idx="3">
                  <c:v>4.1666666666666701E-3</c:v>
                </c:pt>
                <c:pt idx="4">
                  <c:v>5.5555555555555601E-3</c:v>
                </c:pt>
                <c:pt idx="5">
                  <c:v>6.9444444444444397E-3</c:v>
                </c:pt>
                <c:pt idx="6">
                  <c:v>8.3333333333333297E-3</c:v>
                </c:pt>
                <c:pt idx="7">
                  <c:v>9.7222222222222206E-3</c:v>
                </c:pt>
                <c:pt idx="8">
                  <c:v>1.1111111111111099E-2</c:v>
                </c:pt>
                <c:pt idx="9">
                  <c:v>1.2500000000000001E-2</c:v>
                </c:pt>
                <c:pt idx="10">
                  <c:v>1.38888888888889E-2</c:v>
                </c:pt>
                <c:pt idx="11">
                  <c:v>1.52777777777778E-2</c:v>
                </c:pt>
                <c:pt idx="12">
                  <c:v>1.6666666666666701E-2</c:v>
                </c:pt>
                <c:pt idx="13">
                  <c:v>1.8055555555555599E-2</c:v>
                </c:pt>
                <c:pt idx="14">
                  <c:v>1.94444444444444E-2</c:v>
                </c:pt>
                <c:pt idx="15">
                  <c:v>2.0833333333333301E-2</c:v>
                </c:pt>
                <c:pt idx="16">
                  <c:v>2.2222222222222199E-2</c:v>
                </c:pt>
                <c:pt idx="17">
                  <c:v>2.36111111111111E-2</c:v>
                </c:pt>
                <c:pt idx="18">
                  <c:v>2.5000000000000001E-2</c:v>
                </c:pt>
                <c:pt idx="19">
                  <c:v>2.6388888888888899E-2</c:v>
                </c:pt>
                <c:pt idx="20">
                  <c:v>2.7777777777777801E-2</c:v>
                </c:pt>
                <c:pt idx="21">
                  <c:v>2.9166666666666698E-2</c:v>
                </c:pt>
                <c:pt idx="22">
                  <c:v>3.05555555555556E-2</c:v>
                </c:pt>
                <c:pt idx="23">
                  <c:v>3.19444444444444E-2</c:v>
                </c:pt>
                <c:pt idx="24">
                  <c:v>3.3333333333333298E-2</c:v>
                </c:pt>
                <c:pt idx="25">
                  <c:v>3.4722222222222203E-2</c:v>
                </c:pt>
                <c:pt idx="26">
                  <c:v>3.6111111111111101E-2</c:v>
                </c:pt>
                <c:pt idx="27">
                  <c:v>3.7499999999999999E-2</c:v>
                </c:pt>
                <c:pt idx="28">
                  <c:v>3.8888888888888903E-2</c:v>
                </c:pt>
                <c:pt idx="29">
                  <c:v>4.0277777777777801E-2</c:v>
                </c:pt>
                <c:pt idx="30">
                  <c:v>4.1666666666666699E-2</c:v>
                </c:pt>
                <c:pt idx="31">
                  <c:v>4.3055555555555597E-2</c:v>
                </c:pt>
                <c:pt idx="32">
                  <c:v>4.4444444444444398E-2</c:v>
                </c:pt>
                <c:pt idx="33">
                  <c:v>4.5833333333333302E-2</c:v>
                </c:pt>
                <c:pt idx="34">
                  <c:v>4.72222222222222E-2</c:v>
                </c:pt>
                <c:pt idx="35">
                  <c:v>4.8611111111111098E-2</c:v>
                </c:pt>
                <c:pt idx="36">
                  <c:v>0.05</c:v>
                </c:pt>
                <c:pt idx="37">
                  <c:v>5.1388888888888901E-2</c:v>
                </c:pt>
                <c:pt idx="38">
                  <c:v>5.2777777777777798E-2</c:v>
                </c:pt>
                <c:pt idx="39">
                  <c:v>5.4166666666666703E-2</c:v>
                </c:pt>
                <c:pt idx="40">
                  <c:v>5.5555555555555601E-2</c:v>
                </c:pt>
                <c:pt idx="41">
                  <c:v>5.6944444444444402E-2</c:v>
                </c:pt>
                <c:pt idx="42">
                  <c:v>5.83333333333333E-2</c:v>
                </c:pt>
                <c:pt idx="43">
                  <c:v>5.9722222222222197E-2</c:v>
                </c:pt>
                <c:pt idx="44">
                  <c:v>6.1111111111111102E-2</c:v>
                </c:pt>
                <c:pt idx="45">
                  <c:v>6.25E-2</c:v>
                </c:pt>
                <c:pt idx="46">
                  <c:v>6.3888888888888898E-2</c:v>
                </c:pt>
                <c:pt idx="47">
                  <c:v>6.5277777777777796E-2</c:v>
                </c:pt>
                <c:pt idx="48">
                  <c:v>6.6666666666666693E-2</c:v>
                </c:pt>
                <c:pt idx="49">
                  <c:v>6.8055555555555605E-2</c:v>
                </c:pt>
                <c:pt idx="50">
                  <c:v>6.9444444444444406E-2</c:v>
                </c:pt>
                <c:pt idx="51">
                  <c:v>7.0833333333333304E-2</c:v>
                </c:pt>
                <c:pt idx="52">
                  <c:v>7.2222222222222202E-2</c:v>
                </c:pt>
                <c:pt idx="53">
                  <c:v>7.3611111111111099E-2</c:v>
                </c:pt>
                <c:pt idx="54">
                  <c:v>7.4999999999999997E-2</c:v>
                </c:pt>
                <c:pt idx="55">
                  <c:v>7.6388888888888895E-2</c:v>
                </c:pt>
                <c:pt idx="56">
                  <c:v>7.7777777777777807E-2</c:v>
                </c:pt>
                <c:pt idx="57">
                  <c:v>7.9166666666666705E-2</c:v>
                </c:pt>
                <c:pt idx="58">
                  <c:v>8.0555555555555602E-2</c:v>
                </c:pt>
                <c:pt idx="59">
                  <c:v>8.1944444444444403E-2</c:v>
                </c:pt>
                <c:pt idx="60">
                  <c:v>8.3333333333333301E-2</c:v>
                </c:pt>
                <c:pt idx="61">
                  <c:v>8.4722222222222199E-2</c:v>
                </c:pt>
                <c:pt idx="62">
                  <c:v>8.6111111111111097E-2</c:v>
                </c:pt>
                <c:pt idx="63">
                  <c:v>8.7499999999999994E-2</c:v>
                </c:pt>
                <c:pt idx="64">
                  <c:v>8.8888888888888906E-2</c:v>
                </c:pt>
                <c:pt idx="65">
                  <c:v>9.0277777777777804E-2</c:v>
                </c:pt>
                <c:pt idx="66">
                  <c:v>9.1666666666666702E-2</c:v>
                </c:pt>
                <c:pt idx="67">
                  <c:v>9.30555555555556E-2</c:v>
                </c:pt>
                <c:pt idx="68">
                  <c:v>9.44444444444444E-2</c:v>
                </c:pt>
                <c:pt idx="69">
                  <c:v>9.5833333333333298E-2</c:v>
                </c:pt>
                <c:pt idx="70">
                  <c:v>9.7222222222222196E-2</c:v>
                </c:pt>
                <c:pt idx="71">
                  <c:v>9.8611111111111094E-2</c:v>
                </c:pt>
                <c:pt idx="72">
                  <c:v>0.1</c:v>
                </c:pt>
                <c:pt idx="73">
                  <c:v>0.101388888888889</c:v>
                </c:pt>
                <c:pt idx="74">
                  <c:v>0.102777777777778</c:v>
                </c:pt>
                <c:pt idx="75">
                  <c:v>0.104166666666667</c:v>
                </c:pt>
                <c:pt idx="76">
                  <c:v>0.105555555555556</c:v>
                </c:pt>
                <c:pt idx="77">
                  <c:v>0.10694444444444499</c:v>
                </c:pt>
                <c:pt idx="78">
                  <c:v>0.108333333333334</c:v>
                </c:pt>
                <c:pt idx="79">
                  <c:v>0.109722222222222</c:v>
                </c:pt>
                <c:pt idx="80">
                  <c:v>0.11111111111111099</c:v>
                </c:pt>
                <c:pt idx="81">
                  <c:v>0.1125</c:v>
                </c:pt>
                <c:pt idx="82">
                  <c:v>0.113888888888889</c:v>
                </c:pt>
                <c:pt idx="83">
                  <c:v>0.11527777777777801</c:v>
                </c:pt>
                <c:pt idx="84">
                  <c:v>0.116666666666667</c:v>
                </c:pt>
                <c:pt idx="85">
                  <c:v>0.118055555555556</c:v>
                </c:pt>
                <c:pt idx="86">
                  <c:v>0.11944444444444501</c:v>
                </c:pt>
                <c:pt idx="87">
                  <c:v>0.120833333333334</c:v>
                </c:pt>
                <c:pt idx="88">
                  <c:v>0.122222222222222</c:v>
                </c:pt>
                <c:pt idx="89">
                  <c:v>0.12361111111111101</c:v>
                </c:pt>
                <c:pt idx="90">
                  <c:v>0.125</c:v>
                </c:pt>
                <c:pt idx="91">
                  <c:v>0.12638888888888899</c:v>
                </c:pt>
                <c:pt idx="92">
                  <c:v>0.12777777777777799</c:v>
                </c:pt>
                <c:pt idx="93">
                  <c:v>0.12916666666666701</c:v>
                </c:pt>
                <c:pt idx="94">
                  <c:v>0.13055555555555601</c:v>
                </c:pt>
                <c:pt idx="95">
                  <c:v>0.131944444444445</c:v>
                </c:pt>
                <c:pt idx="96">
                  <c:v>0.133333333333334</c:v>
                </c:pt>
                <c:pt idx="97">
                  <c:v>0.13472222222222199</c:v>
                </c:pt>
                <c:pt idx="98">
                  <c:v>0.13611111111111099</c:v>
                </c:pt>
                <c:pt idx="99">
                  <c:v>0.13750000000000001</c:v>
                </c:pt>
                <c:pt idx="100">
                  <c:v>0.13888888888888901</c:v>
                </c:pt>
                <c:pt idx="101">
                  <c:v>0.140277777777778</c:v>
                </c:pt>
                <c:pt idx="102">
                  <c:v>0.141666666666667</c:v>
                </c:pt>
                <c:pt idx="103">
                  <c:v>0.14305555555555599</c:v>
                </c:pt>
                <c:pt idx="104">
                  <c:v>0.14444444444444501</c:v>
                </c:pt>
                <c:pt idx="105">
                  <c:v>0.14583333333333401</c:v>
                </c:pt>
                <c:pt idx="106">
                  <c:v>0.147222222222223</c:v>
                </c:pt>
                <c:pt idx="107">
                  <c:v>0.148611111111111</c:v>
                </c:pt>
                <c:pt idx="108">
                  <c:v>0.15</c:v>
                </c:pt>
                <c:pt idx="109">
                  <c:v>0.15138888888888899</c:v>
                </c:pt>
                <c:pt idx="110">
                  <c:v>0.15277777777777801</c:v>
                </c:pt>
                <c:pt idx="111">
                  <c:v>0.15416666666666701</c:v>
                </c:pt>
                <c:pt idx="112">
                  <c:v>0.155555555555556</c:v>
                </c:pt>
                <c:pt idx="113">
                  <c:v>0.156944444444445</c:v>
                </c:pt>
                <c:pt idx="114">
                  <c:v>0.15833333333333399</c:v>
                </c:pt>
                <c:pt idx="115">
                  <c:v>0.15972222222222299</c:v>
                </c:pt>
                <c:pt idx="116">
                  <c:v>0.16111111111111201</c:v>
                </c:pt>
                <c:pt idx="117">
                  <c:v>0.162500000000001</c:v>
                </c:pt>
                <c:pt idx="118">
                  <c:v>0.163888888888889</c:v>
                </c:pt>
                <c:pt idx="119">
                  <c:v>0.165277777777778</c:v>
                </c:pt>
                <c:pt idx="120">
                  <c:v>0.16666666666666699</c:v>
                </c:pt>
                <c:pt idx="121">
                  <c:v>0.16805555555555601</c:v>
                </c:pt>
                <c:pt idx="122">
                  <c:v>0.16944444444444501</c:v>
                </c:pt>
                <c:pt idx="123">
                  <c:v>0.170833333333334</c:v>
                </c:pt>
                <c:pt idx="124">
                  <c:v>0.172222222222223</c:v>
                </c:pt>
                <c:pt idx="125">
                  <c:v>0.17361111111111199</c:v>
                </c:pt>
                <c:pt idx="126">
                  <c:v>0.17500000000000099</c:v>
                </c:pt>
                <c:pt idx="127">
                  <c:v>0.17638888888888901</c:v>
                </c:pt>
                <c:pt idx="128">
                  <c:v>0.17777777777777801</c:v>
                </c:pt>
                <c:pt idx="129">
                  <c:v>0.179166666666667</c:v>
                </c:pt>
                <c:pt idx="130">
                  <c:v>0.180555555555556</c:v>
                </c:pt>
                <c:pt idx="131">
                  <c:v>0.18194444444444499</c:v>
                </c:pt>
                <c:pt idx="132">
                  <c:v>0.18333333333333399</c:v>
                </c:pt>
                <c:pt idx="133">
                  <c:v>0.18472222222222301</c:v>
                </c:pt>
                <c:pt idx="134">
                  <c:v>0.186111111111112</c:v>
                </c:pt>
                <c:pt idx="135">
                  <c:v>0.1875</c:v>
                </c:pt>
                <c:pt idx="136">
                  <c:v>0.18888888888888899</c:v>
                </c:pt>
                <c:pt idx="137">
                  <c:v>0.19027777777777799</c:v>
                </c:pt>
                <c:pt idx="138">
                  <c:v>0.19166666666666701</c:v>
                </c:pt>
                <c:pt idx="139">
                  <c:v>0.19305555555555601</c:v>
                </c:pt>
                <c:pt idx="140">
                  <c:v>0.194444444444445</c:v>
                </c:pt>
                <c:pt idx="141">
                  <c:v>0.195833333333334</c:v>
                </c:pt>
                <c:pt idx="142">
                  <c:v>0.19722222222222299</c:v>
                </c:pt>
                <c:pt idx="143">
                  <c:v>0.19861111111111199</c:v>
                </c:pt>
                <c:pt idx="144">
                  <c:v>0.20000000000000101</c:v>
                </c:pt>
                <c:pt idx="145">
                  <c:v>0.20138888888888901</c:v>
                </c:pt>
                <c:pt idx="146">
                  <c:v>0.202777777777778</c:v>
                </c:pt>
                <c:pt idx="147">
                  <c:v>0.204166666666667</c:v>
                </c:pt>
                <c:pt idx="148">
                  <c:v>0.20555555555555599</c:v>
                </c:pt>
                <c:pt idx="149">
                  <c:v>0.20694444444444501</c:v>
                </c:pt>
                <c:pt idx="150">
                  <c:v>0.20833333333333401</c:v>
                </c:pt>
              </c:numCache>
            </c:numRef>
          </c:cat>
          <c:val>
            <c:numRef>
              <c:f>Hoja1!$F$2:$F$152</c:f>
              <c:numCache>
                <c:formatCode>General</c:formatCode>
                <c:ptCount val="151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11</c:v>
                </c:pt>
                <c:pt idx="4">
                  <c:v>11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11</c:v>
                </c:pt>
                <c:pt idx="16">
                  <c:v>11</c:v>
                </c:pt>
                <c:pt idx="17">
                  <c:v>13</c:v>
                </c:pt>
                <c:pt idx="18">
                  <c:v>13</c:v>
                </c:pt>
                <c:pt idx="19">
                  <c:v>13</c:v>
                </c:pt>
                <c:pt idx="20">
                  <c:v>13</c:v>
                </c:pt>
                <c:pt idx="21">
                  <c:v>13</c:v>
                </c:pt>
                <c:pt idx="22">
                  <c:v>10</c:v>
                </c:pt>
                <c:pt idx="23">
                  <c:v>10</c:v>
                </c:pt>
                <c:pt idx="24">
                  <c:v>14</c:v>
                </c:pt>
                <c:pt idx="25">
                  <c:v>14</c:v>
                </c:pt>
                <c:pt idx="26">
                  <c:v>14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10</c:v>
                </c:pt>
                <c:pt idx="31">
                  <c:v>8</c:v>
                </c:pt>
                <c:pt idx="32">
                  <c:v>8</c:v>
                </c:pt>
                <c:pt idx="33">
                  <c:v>12</c:v>
                </c:pt>
                <c:pt idx="34">
                  <c:v>12</c:v>
                </c:pt>
                <c:pt idx="35">
                  <c:v>12</c:v>
                </c:pt>
                <c:pt idx="36">
                  <c:v>12</c:v>
                </c:pt>
                <c:pt idx="37">
                  <c:v>12</c:v>
                </c:pt>
                <c:pt idx="38">
                  <c:v>11</c:v>
                </c:pt>
                <c:pt idx="39">
                  <c:v>11</c:v>
                </c:pt>
                <c:pt idx="40">
                  <c:v>15</c:v>
                </c:pt>
                <c:pt idx="41">
                  <c:v>15</c:v>
                </c:pt>
                <c:pt idx="42">
                  <c:v>11</c:v>
                </c:pt>
                <c:pt idx="43">
                  <c:v>11</c:v>
                </c:pt>
                <c:pt idx="44">
                  <c:v>11</c:v>
                </c:pt>
                <c:pt idx="45">
                  <c:v>11</c:v>
                </c:pt>
                <c:pt idx="46">
                  <c:v>12</c:v>
                </c:pt>
                <c:pt idx="47">
                  <c:v>12</c:v>
                </c:pt>
                <c:pt idx="48">
                  <c:v>12</c:v>
                </c:pt>
                <c:pt idx="49">
                  <c:v>12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13</c:v>
                </c:pt>
                <c:pt idx="54">
                  <c:v>13</c:v>
                </c:pt>
                <c:pt idx="55">
                  <c:v>11</c:v>
                </c:pt>
                <c:pt idx="56">
                  <c:v>10</c:v>
                </c:pt>
                <c:pt idx="57">
                  <c:v>10</c:v>
                </c:pt>
                <c:pt idx="58">
                  <c:v>11</c:v>
                </c:pt>
                <c:pt idx="59">
                  <c:v>11</c:v>
                </c:pt>
                <c:pt idx="60">
                  <c:v>13</c:v>
                </c:pt>
                <c:pt idx="61">
                  <c:v>11</c:v>
                </c:pt>
                <c:pt idx="62">
                  <c:v>11</c:v>
                </c:pt>
                <c:pt idx="63">
                  <c:v>10</c:v>
                </c:pt>
                <c:pt idx="64">
                  <c:v>10</c:v>
                </c:pt>
                <c:pt idx="65">
                  <c:v>13</c:v>
                </c:pt>
                <c:pt idx="66">
                  <c:v>13</c:v>
                </c:pt>
                <c:pt idx="67">
                  <c:v>13</c:v>
                </c:pt>
                <c:pt idx="68">
                  <c:v>12</c:v>
                </c:pt>
                <c:pt idx="69">
                  <c:v>11</c:v>
                </c:pt>
                <c:pt idx="70">
                  <c:v>12</c:v>
                </c:pt>
                <c:pt idx="71">
                  <c:v>12</c:v>
                </c:pt>
                <c:pt idx="72">
                  <c:v>14</c:v>
                </c:pt>
                <c:pt idx="73">
                  <c:v>14</c:v>
                </c:pt>
                <c:pt idx="74">
                  <c:v>14</c:v>
                </c:pt>
                <c:pt idx="75">
                  <c:v>11</c:v>
                </c:pt>
                <c:pt idx="76">
                  <c:v>11</c:v>
                </c:pt>
                <c:pt idx="77">
                  <c:v>9</c:v>
                </c:pt>
                <c:pt idx="78">
                  <c:v>13</c:v>
                </c:pt>
                <c:pt idx="79">
                  <c:v>11</c:v>
                </c:pt>
                <c:pt idx="80">
                  <c:v>12</c:v>
                </c:pt>
                <c:pt idx="81">
                  <c:v>12</c:v>
                </c:pt>
                <c:pt idx="82">
                  <c:v>12</c:v>
                </c:pt>
                <c:pt idx="83">
                  <c:v>11</c:v>
                </c:pt>
                <c:pt idx="84">
                  <c:v>10</c:v>
                </c:pt>
                <c:pt idx="85">
                  <c:v>11</c:v>
                </c:pt>
                <c:pt idx="86">
                  <c:v>11</c:v>
                </c:pt>
                <c:pt idx="87">
                  <c:v>10</c:v>
                </c:pt>
                <c:pt idx="88">
                  <c:v>12</c:v>
                </c:pt>
                <c:pt idx="89">
                  <c:v>12</c:v>
                </c:pt>
                <c:pt idx="90">
                  <c:v>9</c:v>
                </c:pt>
                <c:pt idx="91">
                  <c:v>10</c:v>
                </c:pt>
                <c:pt idx="92">
                  <c:v>10</c:v>
                </c:pt>
                <c:pt idx="93">
                  <c:v>11</c:v>
                </c:pt>
                <c:pt idx="94">
                  <c:v>11</c:v>
                </c:pt>
                <c:pt idx="95">
                  <c:v>13</c:v>
                </c:pt>
                <c:pt idx="96">
                  <c:v>13</c:v>
                </c:pt>
                <c:pt idx="97">
                  <c:v>13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11</c:v>
                </c:pt>
                <c:pt idx="102">
                  <c:v>11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11</c:v>
                </c:pt>
                <c:pt idx="107">
                  <c:v>11</c:v>
                </c:pt>
                <c:pt idx="108">
                  <c:v>11</c:v>
                </c:pt>
                <c:pt idx="109">
                  <c:v>11</c:v>
                </c:pt>
                <c:pt idx="110">
                  <c:v>11</c:v>
                </c:pt>
                <c:pt idx="111">
                  <c:v>11</c:v>
                </c:pt>
                <c:pt idx="112">
                  <c:v>11</c:v>
                </c:pt>
                <c:pt idx="113">
                  <c:v>11</c:v>
                </c:pt>
                <c:pt idx="114">
                  <c:v>12</c:v>
                </c:pt>
                <c:pt idx="115">
                  <c:v>12</c:v>
                </c:pt>
                <c:pt idx="116">
                  <c:v>12</c:v>
                </c:pt>
                <c:pt idx="117">
                  <c:v>12</c:v>
                </c:pt>
                <c:pt idx="118">
                  <c:v>14</c:v>
                </c:pt>
                <c:pt idx="119">
                  <c:v>14</c:v>
                </c:pt>
                <c:pt idx="120">
                  <c:v>14</c:v>
                </c:pt>
                <c:pt idx="121">
                  <c:v>15</c:v>
                </c:pt>
                <c:pt idx="122">
                  <c:v>15</c:v>
                </c:pt>
                <c:pt idx="123">
                  <c:v>11</c:v>
                </c:pt>
                <c:pt idx="124">
                  <c:v>8</c:v>
                </c:pt>
                <c:pt idx="125">
                  <c:v>11</c:v>
                </c:pt>
                <c:pt idx="126">
                  <c:v>11</c:v>
                </c:pt>
                <c:pt idx="127">
                  <c:v>12</c:v>
                </c:pt>
                <c:pt idx="128">
                  <c:v>12</c:v>
                </c:pt>
                <c:pt idx="129">
                  <c:v>12</c:v>
                </c:pt>
                <c:pt idx="130">
                  <c:v>11</c:v>
                </c:pt>
                <c:pt idx="131">
                  <c:v>11</c:v>
                </c:pt>
                <c:pt idx="132">
                  <c:v>10</c:v>
                </c:pt>
                <c:pt idx="133">
                  <c:v>11</c:v>
                </c:pt>
                <c:pt idx="134">
                  <c:v>11</c:v>
                </c:pt>
                <c:pt idx="135">
                  <c:v>12</c:v>
                </c:pt>
                <c:pt idx="136">
                  <c:v>11</c:v>
                </c:pt>
                <c:pt idx="137">
                  <c:v>11</c:v>
                </c:pt>
                <c:pt idx="138">
                  <c:v>14</c:v>
                </c:pt>
                <c:pt idx="139">
                  <c:v>14</c:v>
                </c:pt>
                <c:pt idx="140">
                  <c:v>14</c:v>
                </c:pt>
                <c:pt idx="141">
                  <c:v>14</c:v>
                </c:pt>
                <c:pt idx="142">
                  <c:v>14</c:v>
                </c:pt>
                <c:pt idx="143">
                  <c:v>14</c:v>
                </c:pt>
                <c:pt idx="144">
                  <c:v>10</c:v>
                </c:pt>
                <c:pt idx="145">
                  <c:v>11</c:v>
                </c:pt>
                <c:pt idx="146">
                  <c:v>11</c:v>
                </c:pt>
                <c:pt idx="147">
                  <c:v>10</c:v>
                </c:pt>
                <c:pt idx="148">
                  <c:v>11</c:v>
                </c:pt>
                <c:pt idx="149">
                  <c:v>11</c:v>
                </c:pt>
                <c:pt idx="150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54-4804-BFBF-F373C6ECAE0F}"/>
            </c:ext>
          </c:extLst>
        </c:ser>
        <c:ser>
          <c:idx val="2"/>
          <c:order val="2"/>
          <c:tx>
            <c:strRef>
              <c:f>Hoja1!$G$1</c:f>
              <c:strCache>
                <c:ptCount val="1"/>
                <c:pt idx="0">
                  <c:v>Conteo_modelo TRANSFORMER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Hoja1!$D$2:$D$152</c:f>
              <c:numCache>
                <c:formatCode>h:mm</c:formatCode>
                <c:ptCount val="151"/>
                <c:pt idx="0">
                  <c:v>0</c:v>
                </c:pt>
                <c:pt idx="1">
                  <c:v>1.3888888888888889E-3</c:v>
                </c:pt>
                <c:pt idx="2">
                  <c:v>2.7777777777777779E-3</c:v>
                </c:pt>
                <c:pt idx="3">
                  <c:v>4.1666666666666701E-3</c:v>
                </c:pt>
                <c:pt idx="4">
                  <c:v>5.5555555555555601E-3</c:v>
                </c:pt>
                <c:pt idx="5">
                  <c:v>6.9444444444444397E-3</c:v>
                </c:pt>
                <c:pt idx="6">
                  <c:v>8.3333333333333297E-3</c:v>
                </c:pt>
                <c:pt idx="7">
                  <c:v>9.7222222222222206E-3</c:v>
                </c:pt>
                <c:pt idx="8">
                  <c:v>1.1111111111111099E-2</c:v>
                </c:pt>
                <c:pt idx="9">
                  <c:v>1.2500000000000001E-2</c:v>
                </c:pt>
                <c:pt idx="10">
                  <c:v>1.38888888888889E-2</c:v>
                </c:pt>
                <c:pt idx="11">
                  <c:v>1.52777777777778E-2</c:v>
                </c:pt>
                <c:pt idx="12">
                  <c:v>1.6666666666666701E-2</c:v>
                </c:pt>
                <c:pt idx="13">
                  <c:v>1.8055555555555599E-2</c:v>
                </c:pt>
                <c:pt idx="14">
                  <c:v>1.94444444444444E-2</c:v>
                </c:pt>
                <c:pt idx="15">
                  <c:v>2.0833333333333301E-2</c:v>
                </c:pt>
                <c:pt idx="16">
                  <c:v>2.2222222222222199E-2</c:v>
                </c:pt>
                <c:pt idx="17">
                  <c:v>2.36111111111111E-2</c:v>
                </c:pt>
                <c:pt idx="18">
                  <c:v>2.5000000000000001E-2</c:v>
                </c:pt>
                <c:pt idx="19">
                  <c:v>2.6388888888888899E-2</c:v>
                </c:pt>
                <c:pt idx="20">
                  <c:v>2.7777777777777801E-2</c:v>
                </c:pt>
                <c:pt idx="21">
                  <c:v>2.9166666666666698E-2</c:v>
                </c:pt>
                <c:pt idx="22">
                  <c:v>3.05555555555556E-2</c:v>
                </c:pt>
                <c:pt idx="23">
                  <c:v>3.19444444444444E-2</c:v>
                </c:pt>
                <c:pt idx="24">
                  <c:v>3.3333333333333298E-2</c:v>
                </c:pt>
                <c:pt idx="25">
                  <c:v>3.4722222222222203E-2</c:v>
                </c:pt>
                <c:pt idx="26">
                  <c:v>3.6111111111111101E-2</c:v>
                </c:pt>
                <c:pt idx="27">
                  <c:v>3.7499999999999999E-2</c:v>
                </c:pt>
                <c:pt idx="28">
                  <c:v>3.8888888888888903E-2</c:v>
                </c:pt>
                <c:pt idx="29">
                  <c:v>4.0277777777777801E-2</c:v>
                </c:pt>
                <c:pt idx="30">
                  <c:v>4.1666666666666699E-2</c:v>
                </c:pt>
                <c:pt idx="31">
                  <c:v>4.3055555555555597E-2</c:v>
                </c:pt>
                <c:pt idx="32">
                  <c:v>4.4444444444444398E-2</c:v>
                </c:pt>
                <c:pt idx="33">
                  <c:v>4.5833333333333302E-2</c:v>
                </c:pt>
                <c:pt idx="34">
                  <c:v>4.72222222222222E-2</c:v>
                </c:pt>
                <c:pt idx="35">
                  <c:v>4.8611111111111098E-2</c:v>
                </c:pt>
                <c:pt idx="36">
                  <c:v>0.05</c:v>
                </c:pt>
                <c:pt idx="37">
                  <c:v>5.1388888888888901E-2</c:v>
                </c:pt>
                <c:pt idx="38">
                  <c:v>5.2777777777777798E-2</c:v>
                </c:pt>
                <c:pt idx="39">
                  <c:v>5.4166666666666703E-2</c:v>
                </c:pt>
                <c:pt idx="40">
                  <c:v>5.5555555555555601E-2</c:v>
                </c:pt>
                <c:pt idx="41">
                  <c:v>5.6944444444444402E-2</c:v>
                </c:pt>
                <c:pt idx="42">
                  <c:v>5.83333333333333E-2</c:v>
                </c:pt>
                <c:pt idx="43">
                  <c:v>5.9722222222222197E-2</c:v>
                </c:pt>
                <c:pt idx="44">
                  <c:v>6.1111111111111102E-2</c:v>
                </c:pt>
                <c:pt idx="45">
                  <c:v>6.25E-2</c:v>
                </c:pt>
                <c:pt idx="46">
                  <c:v>6.3888888888888898E-2</c:v>
                </c:pt>
                <c:pt idx="47">
                  <c:v>6.5277777777777796E-2</c:v>
                </c:pt>
                <c:pt idx="48">
                  <c:v>6.6666666666666693E-2</c:v>
                </c:pt>
                <c:pt idx="49">
                  <c:v>6.8055555555555605E-2</c:v>
                </c:pt>
                <c:pt idx="50">
                  <c:v>6.9444444444444406E-2</c:v>
                </c:pt>
                <c:pt idx="51">
                  <c:v>7.0833333333333304E-2</c:v>
                </c:pt>
                <c:pt idx="52">
                  <c:v>7.2222222222222202E-2</c:v>
                </c:pt>
                <c:pt idx="53">
                  <c:v>7.3611111111111099E-2</c:v>
                </c:pt>
                <c:pt idx="54">
                  <c:v>7.4999999999999997E-2</c:v>
                </c:pt>
                <c:pt idx="55">
                  <c:v>7.6388888888888895E-2</c:v>
                </c:pt>
                <c:pt idx="56">
                  <c:v>7.7777777777777807E-2</c:v>
                </c:pt>
                <c:pt idx="57">
                  <c:v>7.9166666666666705E-2</c:v>
                </c:pt>
                <c:pt idx="58">
                  <c:v>8.0555555555555602E-2</c:v>
                </c:pt>
                <c:pt idx="59">
                  <c:v>8.1944444444444403E-2</c:v>
                </c:pt>
                <c:pt idx="60">
                  <c:v>8.3333333333333301E-2</c:v>
                </c:pt>
                <c:pt idx="61">
                  <c:v>8.4722222222222199E-2</c:v>
                </c:pt>
                <c:pt idx="62">
                  <c:v>8.6111111111111097E-2</c:v>
                </c:pt>
                <c:pt idx="63">
                  <c:v>8.7499999999999994E-2</c:v>
                </c:pt>
                <c:pt idx="64">
                  <c:v>8.8888888888888906E-2</c:v>
                </c:pt>
                <c:pt idx="65">
                  <c:v>9.0277777777777804E-2</c:v>
                </c:pt>
                <c:pt idx="66">
                  <c:v>9.1666666666666702E-2</c:v>
                </c:pt>
                <c:pt idx="67">
                  <c:v>9.30555555555556E-2</c:v>
                </c:pt>
                <c:pt idx="68">
                  <c:v>9.44444444444444E-2</c:v>
                </c:pt>
                <c:pt idx="69">
                  <c:v>9.5833333333333298E-2</c:v>
                </c:pt>
                <c:pt idx="70">
                  <c:v>9.7222222222222196E-2</c:v>
                </c:pt>
                <c:pt idx="71">
                  <c:v>9.8611111111111094E-2</c:v>
                </c:pt>
                <c:pt idx="72">
                  <c:v>0.1</c:v>
                </c:pt>
                <c:pt idx="73">
                  <c:v>0.101388888888889</c:v>
                </c:pt>
                <c:pt idx="74">
                  <c:v>0.102777777777778</c:v>
                </c:pt>
                <c:pt idx="75">
                  <c:v>0.104166666666667</c:v>
                </c:pt>
                <c:pt idx="76">
                  <c:v>0.105555555555556</c:v>
                </c:pt>
                <c:pt idx="77">
                  <c:v>0.10694444444444499</c:v>
                </c:pt>
                <c:pt idx="78">
                  <c:v>0.108333333333334</c:v>
                </c:pt>
                <c:pt idx="79">
                  <c:v>0.109722222222222</c:v>
                </c:pt>
                <c:pt idx="80">
                  <c:v>0.11111111111111099</c:v>
                </c:pt>
                <c:pt idx="81">
                  <c:v>0.1125</c:v>
                </c:pt>
                <c:pt idx="82">
                  <c:v>0.113888888888889</c:v>
                </c:pt>
                <c:pt idx="83">
                  <c:v>0.11527777777777801</c:v>
                </c:pt>
                <c:pt idx="84">
                  <c:v>0.116666666666667</c:v>
                </c:pt>
                <c:pt idx="85">
                  <c:v>0.118055555555556</c:v>
                </c:pt>
                <c:pt idx="86">
                  <c:v>0.11944444444444501</c:v>
                </c:pt>
                <c:pt idx="87">
                  <c:v>0.120833333333334</c:v>
                </c:pt>
                <c:pt idx="88">
                  <c:v>0.122222222222222</c:v>
                </c:pt>
                <c:pt idx="89">
                  <c:v>0.12361111111111101</c:v>
                </c:pt>
                <c:pt idx="90">
                  <c:v>0.125</c:v>
                </c:pt>
                <c:pt idx="91">
                  <c:v>0.12638888888888899</c:v>
                </c:pt>
                <c:pt idx="92">
                  <c:v>0.12777777777777799</c:v>
                </c:pt>
                <c:pt idx="93">
                  <c:v>0.12916666666666701</c:v>
                </c:pt>
                <c:pt idx="94">
                  <c:v>0.13055555555555601</c:v>
                </c:pt>
                <c:pt idx="95">
                  <c:v>0.131944444444445</c:v>
                </c:pt>
                <c:pt idx="96">
                  <c:v>0.133333333333334</c:v>
                </c:pt>
                <c:pt idx="97">
                  <c:v>0.13472222222222199</c:v>
                </c:pt>
                <c:pt idx="98">
                  <c:v>0.13611111111111099</c:v>
                </c:pt>
                <c:pt idx="99">
                  <c:v>0.13750000000000001</c:v>
                </c:pt>
                <c:pt idx="100">
                  <c:v>0.13888888888888901</c:v>
                </c:pt>
                <c:pt idx="101">
                  <c:v>0.140277777777778</c:v>
                </c:pt>
                <c:pt idx="102">
                  <c:v>0.141666666666667</c:v>
                </c:pt>
                <c:pt idx="103">
                  <c:v>0.14305555555555599</c:v>
                </c:pt>
                <c:pt idx="104">
                  <c:v>0.14444444444444501</c:v>
                </c:pt>
                <c:pt idx="105">
                  <c:v>0.14583333333333401</c:v>
                </c:pt>
                <c:pt idx="106">
                  <c:v>0.147222222222223</c:v>
                </c:pt>
                <c:pt idx="107">
                  <c:v>0.148611111111111</c:v>
                </c:pt>
                <c:pt idx="108">
                  <c:v>0.15</c:v>
                </c:pt>
                <c:pt idx="109">
                  <c:v>0.15138888888888899</c:v>
                </c:pt>
                <c:pt idx="110">
                  <c:v>0.15277777777777801</c:v>
                </c:pt>
                <c:pt idx="111">
                  <c:v>0.15416666666666701</c:v>
                </c:pt>
                <c:pt idx="112">
                  <c:v>0.155555555555556</c:v>
                </c:pt>
                <c:pt idx="113">
                  <c:v>0.156944444444445</c:v>
                </c:pt>
                <c:pt idx="114">
                  <c:v>0.15833333333333399</c:v>
                </c:pt>
                <c:pt idx="115">
                  <c:v>0.15972222222222299</c:v>
                </c:pt>
                <c:pt idx="116">
                  <c:v>0.16111111111111201</c:v>
                </c:pt>
                <c:pt idx="117">
                  <c:v>0.162500000000001</c:v>
                </c:pt>
                <c:pt idx="118">
                  <c:v>0.163888888888889</c:v>
                </c:pt>
                <c:pt idx="119">
                  <c:v>0.165277777777778</c:v>
                </c:pt>
                <c:pt idx="120">
                  <c:v>0.16666666666666699</c:v>
                </c:pt>
                <c:pt idx="121">
                  <c:v>0.16805555555555601</c:v>
                </c:pt>
                <c:pt idx="122">
                  <c:v>0.16944444444444501</c:v>
                </c:pt>
                <c:pt idx="123">
                  <c:v>0.170833333333334</c:v>
                </c:pt>
                <c:pt idx="124">
                  <c:v>0.172222222222223</c:v>
                </c:pt>
                <c:pt idx="125">
                  <c:v>0.17361111111111199</c:v>
                </c:pt>
                <c:pt idx="126">
                  <c:v>0.17500000000000099</c:v>
                </c:pt>
                <c:pt idx="127">
                  <c:v>0.17638888888888901</c:v>
                </c:pt>
                <c:pt idx="128">
                  <c:v>0.17777777777777801</c:v>
                </c:pt>
                <c:pt idx="129">
                  <c:v>0.179166666666667</c:v>
                </c:pt>
                <c:pt idx="130">
                  <c:v>0.180555555555556</c:v>
                </c:pt>
                <c:pt idx="131">
                  <c:v>0.18194444444444499</c:v>
                </c:pt>
                <c:pt idx="132">
                  <c:v>0.18333333333333399</c:v>
                </c:pt>
                <c:pt idx="133">
                  <c:v>0.18472222222222301</c:v>
                </c:pt>
                <c:pt idx="134">
                  <c:v>0.186111111111112</c:v>
                </c:pt>
                <c:pt idx="135">
                  <c:v>0.1875</c:v>
                </c:pt>
                <c:pt idx="136">
                  <c:v>0.18888888888888899</c:v>
                </c:pt>
                <c:pt idx="137">
                  <c:v>0.19027777777777799</c:v>
                </c:pt>
                <c:pt idx="138">
                  <c:v>0.19166666666666701</c:v>
                </c:pt>
                <c:pt idx="139">
                  <c:v>0.19305555555555601</c:v>
                </c:pt>
                <c:pt idx="140">
                  <c:v>0.194444444444445</c:v>
                </c:pt>
                <c:pt idx="141">
                  <c:v>0.195833333333334</c:v>
                </c:pt>
                <c:pt idx="142">
                  <c:v>0.19722222222222299</c:v>
                </c:pt>
                <c:pt idx="143">
                  <c:v>0.19861111111111199</c:v>
                </c:pt>
                <c:pt idx="144">
                  <c:v>0.20000000000000101</c:v>
                </c:pt>
                <c:pt idx="145">
                  <c:v>0.20138888888888901</c:v>
                </c:pt>
                <c:pt idx="146">
                  <c:v>0.202777777777778</c:v>
                </c:pt>
                <c:pt idx="147">
                  <c:v>0.204166666666667</c:v>
                </c:pt>
                <c:pt idx="148">
                  <c:v>0.20555555555555599</c:v>
                </c:pt>
                <c:pt idx="149">
                  <c:v>0.20694444444444501</c:v>
                </c:pt>
                <c:pt idx="150">
                  <c:v>0.20833333333333401</c:v>
                </c:pt>
              </c:numCache>
            </c:numRef>
          </c:cat>
          <c:val>
            <c:numRef>
              <c:f>Hoja1!$G$2:$G$152</c:f>
              <c:numCache>
                <c:formatCode>General</c:formatCode>
                <c:ptCount val="151"/>
                <c:pt idx="0">
                  <c:v>11</c:v>
                </c:pt>
                <c:pt idx="1">
                  <c:v>14</c:v>
                </c:pt>
                <c:pt idx="2">
                  <c:v>11</c:v>
                </c:pt>
                <c:pt idx="3">
                  <c:v>12</c:v>
                </c:pt>
                <c:pt idx="4">
                  <c:v>11</c:v>
                </c:pt>
                <c:pt idx="5">
                  <c:v>9</c:v>
                </c:pt>
                <c:pt idx="6">
                  <c:v>11</c:v>
                </c:pt>
                <c:pt idx="7">
                  <c:v>11</c:v>
                </c:pt>
                <c:pt idx="8">
                  <c:v>13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13</c:v>
                </c:pt>
                <c:pt idx="13">
                  <c:v>9</c:v>
                </c:pt>
                <c:pt idx="14">
                  <c:v>12</c:v>
                </c:pt>
                <c:pt idx="15">
                  <c:v>11</c:v>
                </c:pt>
                <c:pt idx="16">
                  <c:v>12</c:v>
                </c:pt>
                <c:pt idx="17">
                  <c:v>10</c:v>
                </c:pt>
                <c:pt idx="18">
                  <c:v>11</c:v>
                </c:pt>
                <c:pt idx="19">
                  <c:v>10</c:v>
                </c:pt>
                <c:pt idx="20">
                  <c:v>14</c:v>
                </c:pt>
                <c:pt idx="21">
                  <c:v>9</c:v>
                </c:pt>
                <c:pt idx="22">
                  <c:v>11</c:v>
                </c:pt>
                <c:pt idx="23">
                  <c:v>8</c:v>
                </c:pt>
                <c:pt idx="24">
                  <c:v>14</c:v>
                </c:pt>
                <c:pt idx="25">
                  <c:v>12</c:v>
                </c:pt>
                <c:pt idx="26">
                  <c:v>14</c:v>
                </c:pt>
                <c:pt idx="27">
                  <c:v>12</c:v>
                </c:pt>
                <c:pt idx="28">
                  <c:v>13</c:v>
                </c:pt>
                <c:pt idx="29">
                  <c:v>12</c:v>
                </c:pt>
                <c:pt idx="30">
                  <c:v>9</c:v>
                </c:pt>
                <c:pt idx="31">
                  <c:v>13</c:v>
                </c:pt>
                <c:pt idx="32">
                  <c:v>10</c:v>
                </c:pt>
                <c:pt idx="33">
                  <c:v>8</c:v>
                </c:pt>
                <c:pt idx="34">
                  <c:v>9</c:v>
                </c:pt>
                <c:pt idx="35">
                  <c:v>9</c:v>
                </c:pt>
                <c:pt idx="36">
                  <c:v>9</c:v>
                </c:pt>
                <c:pt idx="37">
                  <c:v>7</c:v>
                </c:pt>
                <c:pt idx="38">
                  <c:v>12</c:v>
                </c:pt>
                <c:pt idx="39">
                  <c:v>7</c:v>
                </c:pt>
                <c:pt idx="40">
                  <c:v>11</c:v>
                </c:pt>
                <c:pt idx="41">
                  <c:v>14</c:v>
                </c:pt>
                <c:pt idx="42">
                  <c:v>11</c:v>
                </c:pt>
                <c:pt idx="43">
                  <c:v>8</c:v>
                </c:pt>
                <c:pt idx="44">
                  <c:v>9</c:v>
                </c:pt>
                <c:pt idx="45">
                  <c:v>11</c:v>
                </c:pt>
                <c:pt idx="46">
                  <c:v>12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11</c:v>
                </c:pt>
                <c:pt idx="51">
                  <c:v>9</c:v>
                </c:pt>
                <c:pt idx="52">
                  <c:v>9</c:v>
                </c:pt>
                <c:pt idx="53">
                  <c:v>10</c:v>
                </c:pt>
                <c:pt idx="54">
                  <c:v>13</c:v>
                </c:pt>
                <c:pt idx="55">
                  <c:v>13</c:v>
                </c:pt>
                <c:pt idx="56">
                  <c:v>10</c:v>
                </c:pt>
                <c:pt idx="57">
                  <c:v>13</c:v>
                </c:pt>
                <c:pt idx="58">
                  <c:v>8</c:v>
                </c:pt>
                <c:pt idx="59">
                  <c:v>13</c:v>
                </c:pt>
                <c:pt idx="60">
                  <c:v>12</c:v>
                </c:pt>
                <c:pt idx="61">
                  <c:v>8</c:v>
                </c:pt>
                <c:pt idx="62">
                  <c:v>10</c:v>
                </c:pt>
                <c:pt idx="63">
                  <c:v>12</c:v>
                </c:pt>
                <c:pt idx="64">
                  <c:v>11</c:v>
                </c:pt>
                <c:pt idx="65">
                  <c:v>16</c:v>
                </c:pt>
                <c:pt idx="66">
                  <c:v>15</c:v>
                </c:pt>
                <c:pt idx="67">
                  <c:v>15</c:v>
                </c:pt>
                <c:pt idx="68">
                  <c:v>11</c:v>
                </c:pt>
                <c:pt idx="69">
                  <c:v>11</c:v>
                </c:pt>
                <c:pt idx="70">
                  <c:v>14</c:v>
                </c:pt>
                <c:pt idx="71">
                  <c:v>16</c:v>
                </c:pt>
                <c:pt idx="72">
                  <c:v>14</c:v>
                </c:pt>
                <c:pt idx="73">
                  <c:v>11</c:v>
                </c:pt>
                <c:pt idx="74">
                  <c:v>14</c:v>
                </c:pt>
                <c:pt idx="75">
                  <c:v>13</c:v>
                </c:pt>
                <c:pt idx="76">
                  <c:v>10</c:v>
                </c:pt>
                <c:pt idx="77">
                  <c:v>12</c:v>
                </c:pt>
                <c:pt idx="78">
                  <c:v>14</c:v>
                </c:pt>
                <c:pt idx="79">
                  <c:v>10</c:v>
                </c:pt>
                <c:pt idx="80">
                  <c:v>12</c:v>
                </c:pt>
                <c:pt idx="81">
                  <c:v>12</c:v>
                </c:pt>
                <c:pt idx="82">
                  <c:v>13</c:v>
                </c:pt>
                <c:pt idx="83">
                  <c:v>13</c:v>
                </c:pt>
                <c:pt idx="84">
                  <c:v>12</c:v>
                </c:pt>
                <c:pt idx="85">
                  <c:v>14</c:v>
                </c:pt>
                <c:pt idx="86">
                  <c:v>11</c:v>
                </c:pt>
                <c:pt idx="87">
                  <c:v>11</c:v>
                </c:pt>
                <c:pt idx="88">
                  <c:v>13</c:v>
                </c:pt>
                <c:pt idx="89">
                  <c:v>15</c:v>
                </c:pt>
                <c:pt idx="90">
                  <c:v>14</c:v>
                </c:pt>
                <c:pt idx="91">
                  <c:v>16</c:v>
                </c:pt>
                <c:pt idx="92">
                  <c:v>11</c:v>
                </c:pt>
                <c:pt idx="93">
                  <c:v>14</c:v>
                </c:pt>
                <c:pt idx="94">
                  <c:v>10</c:v>
                </c:pt>
                <c:pt idx="95">
                  <c:v>12</c:v>
                </c:pt>
                <c:pt idx="96">
                  <c:v>12</c:v>
                </c:pt>
                <c:pt idx="97">
                  <c:v>13</c:v>
                </c:pt>
                <c:pt idx="98">
                  <c:v>16</c:v>
                </c:pt>
                <c:pt idx="99">
                  <c:v>15</c:v>
                </c:pt>
                <c:pt idx="100">
                  <c:v>14</c:v>
                </c:pt>
                <c:pt idx="101">
                  <c:v>13</c:v>
                </c:pt>
                <c:pt idx="102">
                  <c:v>13</c:v>
                </c:pt>
                <c:pt idx="103">
                  <c:v>14</c:v>
                </c:pt>
                <c:pt idx="104">
                  <c:v>14</c:v>
                </c:pt>
                <c:pt idx="105">
                  <c:v>15</c:v>
                </c:pt>
                <c:pt idx="106">
                  <c:v>11</c:v>
                </c:pt>
                <c:pt idx="107">
                  <c:v>10</c:v>
                </c:pt>
                <c:pt idx="108">
                  <c:v>10</c:v>
                </c:pt>
                <c:pt idx="109">
                  <c:v>14</c:v>
                </c:pt>
                <c:pt idx="110">
                  <c:v>14</c:v>
                </c:pt>
                <c:pt idx="111">
                  <c:v>12</c:v>
                </c:pt>
                <c:pt idx="112">
                  <c:v>9</c:v>
                </c:pt>
                <c:pt idx="113">
                  <c:v>15</c:v>
                </c:pt>
                <c:pt idx="114">
                  <c:v>14</c:v>
                </c:pt>
                <c:pt idx="115">
                  <c:v>15</c:v>
                </c:pt>
                <c:pt idx="116">
                  <c:v>16</c:v>
                </c:pt>
                <c:pt idx="117">
                  <c:v>14</c:v>
                </c:pt>
                <c:pt idx="118">
                  <c:v>10</c:v>
                </c:pt>
                <c:pt idx="119">
                  <c:v>13</c:v>
                </c:pt>
                <c:pt idx="120">
                  <c:v>14</c:v>
                </c:pt>
                <c:pt idx="121">
                  <c:v>14</c:v>
                </c:pt>
                <c:pt idx="122">
                  <c:v>16</c:v>
                </c:pt>
                <c:pt idx="123">
                  <c:v>15</c:v>
                </c:pt>
                <c:pt idx="124">
                  <c:v>14</c:v>
                </c:pt>
                <c:pt idx="125">
                  <c:v>16</c:v>
                </c:pt>
                <c:pt idx="126">
                  <c:v>14</c:v>
                </c:pt>
                <c:pt idx="127">
                  <c:v>14</c:v>
                </c:pt>
                <c:pt idx="128">
                  <c:v>11</c:v>
                </c:pt>
                <c:pt idx="129">
                  <c:v>12</c:v>
                </c:pt>
                <c:pt idx="130">
                  <c:v>13</c:v>
                </c:pt>
                <c:pt idx="131">
                  <c:v>13</c:v>
                </c:pt>
                <c:pt idx="132">
                  <c:v>11</c:v>
                </c:pt>
                <c:pt idx="133">
                  <c:v>14</c:v>
                </c:pt>
                <c:pt idx="134">
                  <c:v>17</c:v>
                </c:pt>
                <c:pt idx="135">
                  <c:v>15</c:v>
                </c:pt>
                <c:pt idx="136">
                  <c:v>11</c:v>
                </c:pt>
                <c:pt idx="137">
                  <c:v>13</c:v>
                </c:pt>
                <c:pt idx="138">
                  <c:v>13</c:v>
                </c:pt>
                <c:pt idx="139">
                  <c:v>14</c:v>
                </c:pt>
                <c:pt idx="140">
                  <c:v>15</c:v>
                </c:pt>
                <c:pt idx="141">
                  <c:v>11</c:v>
                </c:pt>
                <c:pt idx="142">
                  <c:v>13</c:v>
                </c:pt>
                <c:pt idx="143">
                  <c:v>13</c:v>
                </c:pt>
                <c:pt idx="144">
                  <c:v>11</c:v>
                </c:pt>
                <c:pt idx="145">
                  <c:v>12</c:v>
                </c:pt>
                <c:pt idx="146">
                  <c:v>14</c:v>
                </c:pt>
                <c:pt idx="147">
                  <c:v>13</c:v>
                </c:pt>
                <c:pt idx="148">
                  <c:v>13</c:v>
                </c:pt>
                <c:pt idx="149">
                  <c:v>10</c:v>
                </c:pt>
                <c:pt idx="150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54-4804-BFBF-F373C6ECA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1397999"/>
        <c:axId val="1061398479"/>
      </c:lineChart>
      <c:catAx>
        <c:axId val="106139799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1398479"/>
        <c:crosses val="autoZero"/>
        <c:auto val="1"/>
        <c:lblAlgn val="ctr"/>
        <c:lblOffset val="100"/>
        <c:noMultiLvlLbl val="0"/>
      </c:catAx>
      <c:valAx>
        <c:axId val="106139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139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855886</xdr:colOff>
      <xdr:row>10</xdr:row>
      <xdr:rowOff>149679</xdr:rowOff>
    </xdr:from>
    <xdr:to>
      <xdr:col>19</xdr:col>
      <xdr:colOff>748393</xdr:colOff>
      <xdr:row>30</xdr:row>
      <xdr:rowOff>38102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7D3DD4-9607-9A0D-8C64-CE3A7C43E3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osue Cobaleda Rosero" id="{520A4311-25AD-41B1-A801-72D482ED6A31}" userId="S::jcobaledar@ucompensar.edu.co::1fc56f1a-70bb-4ac5-97e0-a4833e6bab99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" dT="2025-12-05T01:29:44.21" personId="{520A4311-25AD-41B1-A801-72D482ED6A31}" id="{5BF58895-24E8-43A4-B3DC-19CF8797CF09}">
    <text xml:space="preserve">qué tanto se equivocó, sin importar si fue hacia arriba o hacia abajo.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CB297-F42E-480F-8541-DD58A965A2DE}">
  <dimension ref="A1:Q173"/>
  <sheetViews>
    <sheetView tabSelected="1" topLeftCell="J1" zoomScale="115" zoomScaleNormal="115" workbookViewId="0">
      <selection activeCell="Q8" sqref="N1:Q8"/>
    </sheetView>
  </sheetViews>
  <sheetFormatPr baseColWidth="10" defaultRowHeight="18.45" x14ac:dyDescent="0.4"/>
  <cols>
    <col min="1" max="1" width="11.07421875" style="9"/>
    <col min="2" max="2" width="9.69140625" customWidth="1"/>
    <col min="3" max="3" width="9.69140625" style="9" customWidth="1"/>
    <col min="4" max="4" width="16.765625" customWidth="1"/>
    <col min="5" max="5" width="18.61328125" customWidth="1"/>
    <col min="6" max="6" width="23.23046875" style="11" customWidth="1"/>
    <col min="7" max="7" width="19.765625" style="11" customWidth="1"/>
    <col min="8" max="8" width="17.4609375" customWidth="1"/>
    <col min="9" max="9" width="23.765625" customWidth="1"/>
    <col min="10" max="10" width="15.07421875" customWidth="1"/>
    <col min="11" max="11" width="20.921875" customWidth="1"/>
    <col min="12" max="12" width="20.61328125" customWidth="1"/>
    <col min="13" max="13" width="22.3046875" customWidth="1"/>
    <col min="14" max="14" width="37.3046875" customWidth="1"/>
    <col min="15" max="15" width="19.07421875" style="4" customWidth="1"/>
    <col min="16" max="16" width="18.23046875" customWidth="1"/>
  </cols>
  <sheetData>
    <row r="1" spans="1:17" ht="36.9" x14ac:dyDescent="0.4">
      <c r="B1" s="4" t="s">
        <v>0</v>
      </c>
      <c r="C1" s="12"/>
      <c r="D1" s="4" t="s">
        <v>1</v>
      </c>
      <c r="E1" s="4" t="s">
        <v>2</v>
      </c>
      <c r="F1" s="10" t="s">
        <v>3</v>
      </c>
      <c r="G1" s="10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O1" s="4" t="s">
        <v>15</v>
      </c>
      <c r="P1" s="4" t="s">
        <v>16</v>
      </c>
    </row>
    <row r="2" spans="1:17" ht="24" customHeight="1" x14ac:dyDescent="0.55000000000000004">
      <c r="A2" s="9">
        <v>1</v>
      </c>
      <c r="B2" s="1">
        <v>0</v>
      </c>
      <c r="C2" s="13"/>
      <c r="D2" s="2">
        <v>0</v>
      </c>
      <c r="E2" s="1">
        <v>16</v>
      </c>
      <c r="F2" s="8">
        <v>10</v>
      </c>
      <c r="G2" s="11">
        <v>11</v>
      </c>
      <c r="H2" s="1">
        <f>+F2-E2</f>
        <v>-6</v>
      </c>
      <c r="I2" s="1">
        <f>+G2-E2</f>
        <v>-5</v>
      </c>
      <c r="J2" s="1">
        <f xml:space="preserve"> ABS(H2)</f>
        <v>6</v>
      </c>
      <c r="K2" s="1">
        <f xml:space="preserve"> ABS(I2)</f>
        <v>5</v>
      </c>
      <c r="L2" s="1">
        <f xml:space="preserve"> H2^2</f>
        <v>36</v>
      </c>
      <c r="M2" s="1">
        <f xml:space="preserve"> I2^2</f>
        <v>25</v>
      </c>
      <c r="N2" s="4" t="s">
        <v>11</v>
      </c>
      <c r="O2" s="6">
        <f>+AVERAGE(J2:J152)</f>
        <v>5.072847682119205</v>
      </c>
      <c r="P2" s="6">
        <f>+AVERAGE(K2:K152)</f>
        <v>4.5496688741721858</v>
      </c>
      <c r="Q2" s="5" t="s">
        <v>19</v>
      </c>
    </row>
    <row r="3" spans="1:17" x14ac:dyDescent="0.4">
      <c r="A3" s="9">
        <v>2</v>
      </c>
      <c r="B3">
        <v>2</v>
      </c>
      <c r="C3" s="14">
        <f>+B3/5</f>
        <v>0.4</v>
      </c>
      <c r="D3" s="3">
        <v>1.3888888888888889E-3</v>
      </c>
      <c r="E3" s="1">
        <v>16</v>
      </c>
      <c r="F3" s="8">
        <v>10</v>
      </c>
      <c r="G3" s="8">
        <v>14</v>
      </c>
      <c r="H3" s="1">
        <f t="shared" ref="H3:H66" si="0">+F3-E3</f>
        <v>-6</v>
      </c>
      <c r="I3" s="1">
        <f t="shared" ref="I3:I66" si="1">+G3-E3</f>
        <v>-2</v>
      </c>
      <c r="J3" s="1">
        <f t="shared" ref="J3:J66" si="2" xml:space="preserve"> ABS(H3)</f>
        <v>6</v>
      </c>
      <c r="K3" s="1">
        <f t="shared" ref="K3:K66" si="3" xml:space="preserve"> ABS(I3)</f>
        <v>2</v>
      </c>
      <c r="L3" s="1">
        <f t="shared" ref="L3:L66" si="4" xml:space="preserve"> H3^2</f>
        <v>36</v>
      </c>
      <c r="M3" s="1">
        <f t="shared" ref="M3:M66" si="5" xml:space="preserve"> I3^2</f>
        <v>4</v>
      </c>
    </row>
    <row r="4" spans="1:17" ht="20.6" x14ac:dyDescent="0.55000000000000004">
      <c r="A4" s="9">
        <v>3</v>
      </c>
      <c r="B4">
        <v>4</v>
      </c>
      <c r="C4" s="14">
        <f t="shared" ref="C4:C67" si="6">+B4/5</f>
        <v>0.8</v>
      </c>
      <c r="D4" s="3">
        <v>2.7777777777777779E-3</v>
      </c>
      <c r="E4" s="1">
        <v>16</v>
      </c>
      <c r="F4" s="8">
        <v>10</v>
      </c>
      <c r="G4" s="11">
        <v>11</v>
      </c>
      <c r="H4" s="1">
        <f t="shared" si="0"/>
        <v>-6</v>
      </c>
      <c r="I4" s="1">
        <f t="shared" si="1"/>
        <v>-5</v>
      </c>
      <c r="J4" s="1">
        <f t="shared" si="2"/>
        <v>6</v>
      </c>
      <c r="K4" s="1">
        <f t="shared" si="3"/>
        <v>5</v>
      </c>
      <c r="L4" s="1">
        <f t="shared" si="4"/>
        <v>36</v>
      </c>
      <c r="M4" s="1">
        <f t="shared" si="5"/>
        <v>25</v>
      </c>
      <c r="N4" s="4" t="s">
        <v>12</v>
      </c>
      <c r="O4" s="6">
        <f>+AVERAGE(H2:H152)</f>
        <v>-5.072847682119205</v>
      </c>
      <c r="P4" s="6">
        <f>+AVERAGE(I2:I152)</f>
        <v>-4.5496688741721858</v>
      </c>
      <c r="Q4" s="5" t="s">
        <v>13</v>
      </c>
    </row>
    <row r="5" spans="1:17" x14ac:dyDescent="0.4">
      <c r="A5" s="9">
        <v>4</v>
      </c>
      <c r="B5">
        <v>6</v>
      </c>
      <c r="C5" s="14">
        <f t="shared" si="6"/>
        <v>1.2</v>
      </c>
      <c r="D5" s="2">
        <v>4.1666666666666701E-3</v>
      </c>
      <c r="E5" s="1">
        <v>16</v>
      </c>
      <c r="F5" s="8">
        <v>11</v>
      </c>
      <c r="G5" s="11">
        <v>12</v>
      </c>
      <c r="H5" s="1">
        <f t="shared" si="0"/>
        <v>-5</v>
      </c>
      <c r="I5" s="1">
        <f t="shared" si="1"/>
        <v>-4</v>
      </c>
      <c r="J5" s="1">
        <f t="shared" si="2"/>
        <v>5</v>
      </c>
      <c r="K5" s="1">
        <f t="shared" si="3"/>
        <v>4</v>
      </c>
      <c r="L5" s="1">
        <f t="shared" si="4"/>
        <v>25</v>
      </c>
      <c r="M5" s="1">
        <f t="shared" si="5"/>
        <v>16</v>
      </c>
    </row>
    <row r="6" spans="1:17" ht="20.6" x14ac:dyDescent="0.55000000000000004">
      <c r="A6" s="9">
        <v>5</v>
      </c>
      <c r="B6" s="1">
        <v>8</v>
      </c>
      <c r="C6" s="14">
        <f t="shared" si="6"/>
        <v>1.6</v>
      </c>
      <c r="D6" s="3">
        <v>5.5555555555555601E-3</v>
      </c>
      <c r="E6" s="1">
        <v>16</v>
      </c>
      <c r="F6" s="8">
        <v>11</v>
      </c>
      <c r="G6" s="11">
        <v>11</v>
      </c>
      <c r="H6" s="1">
        <f t="shared" si="0"/>
        <v>-5</v>
      </c>
      <c r="I6" s="1">
        <f t="shared" si="1"/>
        <v>-5</v>
      </c>
      <c r="J6" s="1">
        <f t="shared" si="2"/>
        <v>5</v>
      </c>
      <c r="K6" s="1">
        <f t="shared" si="3"/>
        <v>5</v>
      </c>
      <c r="L6" s="1">
        <f t="shared" si="4"/>
        <v>25</v>
      </c>
      <c r="M6" s="1">
        <f t="shared" si="5"/>
        <v>25</v>
      </c>
      <c r="N6" s="7" t="s">
        <v>14</v>
      </c>
      <c r="O6" s="6">
        <f>+SQRT(AVERAGE(L2:L152))</f>
        <v>5.3102425082748095</v>
      </c>
      <c r="P6" s="6">
        <f>+SQRT(AVERAGE(M2:M152))</f>
        <v>5.0290546555467879</v>
      </c>
      <c r="Q6" s="5" t="s">
        <v>17</v>
      </c>
    </row>
    <row r="7" spans="1:17" ht="20.6" x14ac:dyDescent="0.55000000000000004">
      <c r="A7" s="9">
        <v>6</v>
      </c>
      <c r="B7">
        <v>10</v>
      </c>
      <c r="C7" s="14">
        <f t="shared" si="6"/>
        <v>2</v>
      </c>
      <c r="D7" s="3">
        <v>6.9444444444444397E-3</v>
      </c>
      <c r="E7" s="1">
        <v>16</v>
      </c>
      <c r="F7" s="8">
        <v>13</v>
      </c>
      <c r="G7" s="11">
        <v>9</v>
      </c>
      <c r="H7" s="1">
        <f t="shared" si="0"/>
        <v>-3</v>
      </c>
      <c r="I7" s="1">
        <f t="shared" si="1"/>
        <v>-7</v>
      </c>
      <c r="J7" s="1">
        <f t="shared" si="2"/>
        <v>3</v>
      </c>
      <c r="K7" s="1">
        <f t="shared" si="3"/>
        <v>7</v>
      </c>
      <c r="L7" s="1">
        <f t="shared" si="4"/>
        <v>9</v>
      </c>
      <c r="M7" s="1">
        <f t="shared" si="5"/>
        <v>49</v>
      </c>
      <c r="Q7" s="5"/>
    </row>
    <row r="8" spans="1:17" ht="20.6" x14ac:dyDescent="0.55000000000000004">
      <c r="A8" s="9">
        <v>7</v>
      </c>
      <c r="B8">
        <v>12</v>
      </c>
      <c r="C8" s="14">
        <f t="shared" si="6"/>
        <v>2.4</v>
      </c>
      <c r="D8" s="2">
        <v>8.3333333333333297E-3</v>
      </c>
      <c r="E8" s="1">
        <v>16</v>
      </c>
      <c r="F8" s="8">
        <v>13</v>
      </c>
      <c r="G8" s="8">
        <v>11</v>
      </c>
      <c r="H8" s="1">
        <f t="shared" si="0"/>
        <v>-3</v>
      </c>
      <c r="I8" s="1">
        <f t="shared" si="1"/>
        <v>-5</v>
      </c>
      <c r="J8" s="1">
        <f t="shared" si="2"/>
        <v>3</v>
      </c>
      <c r="K8" s="1">
        <f t="shared" si="3"/>
        <v>5</v>
      </c>
      <c r="L8" s="1">
        <f t="shared" si="4"/>
        <v>9</v>
      </c>
      <c r="M8" s="1">
        <f t="shared" si="5"/>
        <v>25</v>
      </c>
      <c r="N8" s="7" t="s">
        <v>20</v>
      </c>
      <c r="O8" s="6" cm="1">
        <f t="array" ref="O8" xml:space="preserve"> SUMPRODUCT(--(J2:J152&lt;=5)) / COUNTA(J2:J152)</f>
        <v>0.60927152317880795</v>
      </c>
      <c r="P8" s="6" cm="1">
        <f t="array" ref="P8" xml:space="preserve"> SUMPRODUCT(--(K2:K152&lt;=5)) / COUNTA(K2:K152)</f>
        <v>0.66225165562913912</v>
      </c>
      <c r="Q8" s="5" t="s">
        <v>18</v>
      </c>
    </row>
    <row r="9" spans="1:17" x14ac:dyDescent="0.4">
      <c r="A9" s="9">
        <v>8</v>
      </c>
      <c r="B9">
        <v>14</v>
      </c>
      <c r="C9" s="14">
        <f t="shared" si="6"/>
        <v>2.8</v>
      </c>
      <c r="D9" s="3">
        <v>9.7222222222222206E-3</v>
      </c>
      <c r="E9" s="1">
        <v>16</v>
      </c>
      <c r="F9" s="8">
        <v>13</v>
      </c>
      <c r="G9" s="11">
        <v>11</v>
      </c>
      <c r="H9" s="1">
        <f t="shared" si="0"/>
        <v>-3</v>
      </c>
      <c r="I9" s="1">
        <f t="shared" si="1"/>
        <v>-5</v>
      </c>
      <c r="J9" s="1">
        <f t="shared" si="2"/>
        <v>3</v>
      </c>
      <c r="K9" s="1">
        <f t="shared" si="3"/>
        <v>5</v>
      </c>
      <c r="L9" s="1">
        <f t="shared" si="4"/>
        <v>9</v>
      </c>
      <c r="M9" s="1">
        <f t="shared" si="5"/>
        <v>25</v>
      </c>
    </row>
    <row r="10" spans="1:17" x14ac:dyDescent="0.4">
      <c r="A10" s="9">
        <v>9</v>
      </c>
      <c r="B10" s="1">
        <v>16</v>
      </c>
      <c r="C10" s="14">
        <f t="shared" si="6"/>
        <v>3.2</v>
      </c>
      <c r="D10" s="3">
        <v>1.1111111111111099E-2</v>
      </c>
      <c r="E10" s="1">
        <v>16</v>
      </c>
      <c r="F10" s="8">
        <v>12</v>
      </c>
      <c r="G10" s="11">
        <v>13</v>
      </c>
      <c r="H10" s="1">
        <f t="shared" si="0"/>
        <v>-4</v>
      </c>
      <c r="I10" s="1">
        <f t="shared" si="1"/>
        <v>-3</v>
      </c>
      <c r="J10" s="1">
        <f t="shared" si="2"/>
        <v>4</v>
      </c>
      <c r="K10" s="1">
        <f t="shared" si="3"/>
        <v>3</v>
      </c>
      <c r="L10" s="1">
        <f t="shared" si="4"/>
        <v>16</v>
      </c>
      <c r="M10" s="1">
        <f t="shared" si="5"/>
        <v>9</v>
      </c>
    </row>
    <row r="11" spans="1:17" x14ac:dyDescent="0.4">
      <c r="A11" s="9">
        <v>10</v>
      </c>
      <c r="B11">
        <v>18</v>
      </c>
      <c r="C11" s="14">
        <f t="shared" si="6"/>
        <v>3.6</v>
      </c>
      <c r="D11" s="2">
        <v>1.2500000000000001E-2</v>
      </c>
      <c r="E11" s="1">
        <v>16</v>
      </c>
      <c r="F11" s="8">
        <v>12</v>
      </c>
      <c r="G11" s="11">
        <v>11</v>
      </c>
      <c r="H11" s="1">
        <f t="shared" si="0"/>
        <v>-4</v>
      </c>
      <c r="I11" s="1">
        <f t="shared" si="1"/>
        <v>-5</v>
      </c>
      <c r="J11" s="1">
        <f t="shared" si="2"/>
        <v>4</v>
      </c>
      <c r="K11" s="1">
        <f t="shared" si="3"/>
        <v>5</v>
      </c>
      <c r="L11" s="1">
        <f t="shared" si="4"/>
        <v>16</v>
      </c>
      <c r="M11" s="1">
        <f t="shared" si="5"/>
        <v>25</v>
      </c>
    </row>
    <row r="12" spans="1:17" x14ac:dyDescent="0.4">
      <c r="A12" s="9">
        <v>11</v>
      </c>
      <c r="B12">
        <v>20</v>
      </c>
      <c r="C12" s="14">
        <f t="shared" si="6"/>
        <v>4</v>
      </c>
      <c r="D12" s="3">
        <v>1.38888888888889E-2</v>
      </c>
      <c r="E12" s="1">
        <v>16</v>
      </c>
      <c r="F12" s="8">
        <v>12</v>
      </c>
      <c r="G12" s="11">
        <v>12</v>
      </c>
      <c r="H12" s="1">
        <f t="shared" si="0"/>
        <v>-4</v>
      </c>
      <c r="I12" s="1">
        <f t="shared" si="1"/>
        <v>-4</v>
      </c>
      <c r="J12" s="1">
        <f t="shared" si="2"/>
        <v>4</v>
      </c>
      <c r="K12" s="1">
        <f t="shared" si="3"/>
        <v>4</v>
      </c>
      <c r="L12" s="1">
        <f t="shared" si="4"/>
        <v>16</v>
      </c>
      <c r="M12" s="1">
        <f t="shared" si="5"/>
        <v>16</v>
      </c>
    </row>
    <row r="13" spans="1:17" x14ac:dyDescent="0.4">
      <c r="A13" s="9">
        <v>12</v>
      </c>
      <c r="B13">
        <v>22</v>
      </c>
      <c r="C13" s="14">
        <f t="shared" si="6"/>
        <v>4.4000000000000004</v>
      </c>
      <c r="D13" s="3">
        <v>1.52777777777778E-2</v>
      </c>
      <c r="E13" s="1">
        <v>16</v>
      </c>
      <c r="F13" s="8">
        <v>12</v>
      </c>
      <c r="G13" s="8">
        <v>13</v>
      </c>
      <c r="H13" s="1">
        <f t="shared" si="0"/>
        <v>-4</v>
      </c>
      <c r="I13" s="1">
        <f t="shared" si="1"/>
        <v>-3</v>
      </c>
      <c r="J13" s="1">
        <f t="shared" si="2"/>
        <v>4</v>
      </c>
      <c r="K13" s="1">
        <f t="shared" si="3"/>
        <v>3</v>
      </c>
      <c r="L13" s="1">
        <f t="shared" si="4"/>
        <v>16</v>
      </c>
      <c r="M13" s="1">
        <f t="shared" si="5"/>
        <v>9</v>
      </c>
    </row>
    <row r="14" spans="1:17" x14ac:dyDescent="0.4">
      <c r="A14" s="9">
        <v>13</v>
      </c>
      <c r="B14" s="1">
        <v>24</v>
      </c>
      <c r="C14" s="14">
        <f t="shared" si="6"/>
        <v>4.8</v>
      </c>
      <c r="D14" s="2">
        <v>1.6666666666666701E-2</v>
      </c>
      <c r="E14" s="1">
        <v>16</v>
      </c>
      <c r="F14" s="8">
        <v>12</v>
      </c>
      <c r="G14" s="11">
        <v>13</v>
      </c>
      <c r="H14" s="1">
        <f t="shared" si="0"/>
        <v>-4</v>
      </c>
      <c r="I14" s="1">
        <f t="shared" si="1"/>
        <v>-3</v>
      </c>
      <c r="J14" s="1">
        <f t="shared" si="2"/>
        <v>4</v>
      </c>
      <c r="K14" s="1">
        <f t="shared" si="3"/>
        <v>3</v>
      </c>
      <c r="L14" s="1">
        <f t="shared" si="4"/>
        <v>16</v>
      </c>
      <c r="M14" s="1">
        <f t="shared" si="5"/>
        <v>9</v>
      </c>
    </row>
    <row r="15" spans="1:17" x14ac:dyDescent="0.4">
      <c r="A15" s="9">
        <v>14</v>
      </c>
      <c r="B15">
        <v>26</v>
      </c>
      <c r="C15" s="14">
        <f t="shared" si="6"/>
        <v>5.2</v>
      </c>
      <c r="D15" s="3">
        <v>1.8055555555555599E-2</v>
      </c>
      <c r="E15" s="1">
        <v>16</v>
      </c>
      <c r="F15" s="8">
        <v>12</v>
      </c>
      <c r="G15" s="11">
        <v>9</v>
      </c>
      <c r="H15" s="1">
        <f t="shared" si="0"/>
        <v>-4</v>
      </c>
      <c r="I15" s="1">
        <f t="shared" si="1"/>
        <v>-7</v>
      </c>
      <c r="J15" s="1">
        <f t="shared" si="2"/>
        <v>4</v>
      </c>
      <c r="K15" s="1">
        <f t="shared" si="3"/>
        <v>7</v>
      </c>
      <c r="L15" s="1">
        <f t="shared" si="4"/>
        <v>16</v>
      </c>
      <c r="M15" s="1">
        <f t="shared" si="5"/>
        <v>49</v>
      </c>
    </row>
    <row r="16" spans="1:17" x14ac:dyDescent="0.4">
      <c r="A16" s="9">
        <v>15</v>
      </c>
      <c r="B16">
        <v>28</v>
      </c>
      <c r="C16" s="14">
        <f t="shared" si="6"/>
        <v>5.6</v>
      </c>
      <c r="D16" s="3">
        <v>1.94444444444444E-2</v>
      </c>
      <c r="E16" s="1">
        <v>16</v>
      </c>
      <c r="F16" s="8">
        <v>12</v>
      </c>
      <c r="G16" s="11">
        <v>12</v>
      </c>
      <c r="H16" s="1">
        <f t="shared" si="0"/>
        <v>-4</v>
      </c>
      <c r="I16" s="1">
        <f t="shared" si="1"/>
        <v>-4</v>
      </c>
      <c r="J16" s="1">
        <f t="shared" si="2"/>
        <v>4</v>
      </c>
      <c r="K16" s="1">
        <f t="shared" si="3"/>
        <v>4</v>
      </c>
      <c r="L16" s="1">
        <f t="shared" si="4"/>
        <v>16</v>
      </c>
      <c r="M16" s="1">
        <f t="shared" si="5"/>
        <v>16</v>
      </c>
    </row>
    <row r="17" spans="1:13" x14ac:dyDescent="0.4">
      <c r="A17" s="9">
        <v>16</v>
      </c>
      <c r="B17">
        <v>30</v>
      </c>
      <c r="C17" s="14">
        <f t="shared" si="6"/>
        <v>6</v>
      </c>
      <c r="D17" s="2">
        <v>2.0833333333333301E-2</v>
      </c>
      <c r="E17" s="1">
        <v>16</v>
      </c>
      <c r="F17" s="8">
        <v>11</v>
      </c>
      <c r="G17" s="11">
        <v>11</v>
      </c>
      <c r="H17" s="1">
        <f t="shared" si="0"/>
        <v>-5</v>
      </c>
      <c r="I17" s="1">
        <f t="shared" si="1"/>
        <v>-5</v>
      </c>
      <c r="J17" s="1">
        <f t="shared" si="2"/>
        <v>5</v>
      </c>
      <c r="K17" s="1">
        <f t="shared" si="3"/>
        <v>5</v>
      </c>
      <c r="L17" s="1">
        <f t="shared" si="4"/>
        <v>25</v>
      </c>
      <c r="M17" s="1">
        <f t="shared" si="5"/>
        <v>25</v>
      </c>
    </row>
    <row r="18" spans="1:13" x14ac:dyDescent="0.4">
      <c r="A18" s="9">
        <v>17</v>
      </c>
      <c r="B18" s="1">
        <v>32</v>
      </c>
      <c r="C18" s="14">
        <f t="shared" si="6"/>
        <v>6.4</v>
      </c>
      <c r="D18" s="3">
        <v>2.2222222222222199E-2</v>
      </c>
      <c r="E18" s="1">
        <v>16</v>
      </c>
      <c r="F18" s="11">
        <v>11</v>
      </c>
      <c r="G18" s="8">
        <v>12</v>
      </c>
      <c r="H18" s="1">
        <f t="shared" si="0"/>
        <v>-5</v>
      </c>
      <c r="I18" s="1">
        <f t="shared" si="1"/>
        <v>-4</v>
      </c>
      <c r="J18" s="1">
        <f t="shared" si="2"/>
        <v>5</v>
      </c>
      <c r="K18" s="1">
        <f t="shared" si="3"/>
        <v>4</v>
      </c>
      <c r="L18" s="1">
        <f t="shared" si="4"/>
        <v>25</v>
      </c>
      <c r="M18" s="1">
        <f t="shared" si="5"/>
        <v>16</v>
      </c>
    </row>
    <row r="19" spans="1:13" x14ac:dyDescent="0.4">
      <c r="A19" s="9">
        <v>18</v>
      </c>
      <c r="B19">
        <v>34</v>
      </c>
      <c r="C19" s="14">
        <f t="shared" si="6"/>
        <v>6.8</v>
      </c>
      <c r="D19" s="3">
        <v>2.36111111111111E-2</v>
      </c>
      <c r="E19" s="1">
        <v>16</v>
      </c>
      <c r="F19" s="11">
        <v>13</v>
      </c>
      <c r="G19" s="11">
        <v>10</v>
      </c>
      <c r="H19" s="1">
        <f t="shared" si="0"/>
        <v>-3</v>
      </c>
      <c r="I19" s="1">
        <f t="shared" si="1"/>
        <v>-6</v>
      </c>
      <c r="J19" s="1">
        <f t="shared" si="2"/>
        <v>3</v>
      </c>
      <c r="K19" s="1">
        <f t="shared" si="3"/>
        <v>6</v>
      </c>
      <c r="L19" s="1">
        <f t="shared" si="4"/>
        <v>9</v>
      </c>
      <c r="M19" s="1">
        <f t="shared" si="5"/>
        <v>36</v>
      </c>
    </row>
    <row r="20" spans="1:13" x14ac:dyDescent="0.4">
      <c r="A20" s="9">
        <v>19</v>
      </c>
      <c r="B20">
        <v>36</v>
      </c>
      <c r="C20" s="14">
        <f t="shared" si="6"/>
        <v>7.2</v>
      </c>
      <c r="D20" s="2">
        <v>2.5000000000000001E-2</v>
      </c>
      <c r="E20" s="1">
        <v>16</v>
      </c>
      <c r="F20" s="11">
        <v>13</v>
      </c>
      <c r="G20" s="11">
        <v>11</v>
      </c>
      <c r="H20" s="1">
        <f t="shared" si="0"/>
        <v>-3</v>
      </c>
      <c r="I20" s="1">
        <f t="shared" si="1"/>
        <v>-5</v>
      </c>
      <c r="J20" s="1">
        <f t="shared" si="2"/>
        <v>3</v>
      </c>
      <c r="K20" s="1">
        <f t="shared" si="3"/>
        <v>5</v>
      </c>
      <c r="L20" s="1">
        <f t="shared" si="4"/>
        <v>9</v>
      </c>
      <c r="M20" s="1">
        <f t="shared" si="5"/>
        <v>25</v>
      </c>
    </row>
    <row r="21" spans="1:13" x14ac:dyDescent="0.4">
      <c r="A21" s="9">
        <v>20</v>
      </c>
      <c r="B21">
        <v>38</v>
      </c>
      <c r="C21" s="14">
        <f t="shared" si="6"/>
        <v>7.6</v>
      </c>
      <c r="D21" s="3">
        <v>2.6388888888888899E-2</v>
      </c>
      <c r="E21" s="1">
        <v>16</v>
      </c>
      <c r="F21" s="11">
        <v>13</v>
      </c>
      <c r="G21" s="11">
        <v>10</v>
      </c>
      <c r="H21" s="1">
        <f t="shared" si="0"/>
        <v>-3</v>
      </c>
      <c r="I21" s="1">
        <f t="shared" si="1"/>
        <v>-6</v>
      </c>
      <c r="J21" s="1">
        <f t="shared" si="2"/>
        <v>3</v>
      </c>
      <c r="K21" s="1">
        <f t="shared" si="3"/>
        <v>6</v>
      </c>
      <c r="L21" s="1">
        <f t="shared" si="4"/>
        <v>9</v>
      </c>
      <c r="M21" s="1">
        <f t="shared" si="5"/>
        <v>36</v>
      </c>
    </row>
    <row r="22" spans="1:13" x14ac:dyDescent="0.4">
      <c r="A22" s="9">
        <v>21</v>
      </c>
      <c r="B22" s="1">
        <v>40</v>
      </c>
      <c r="C22" s="14">
        <f t="shared" si="6"/>
        <v>8</v>
      </c>
      <c r="D22" s="3">
        <v>2.7777777777777801E-2</v>
      </c>
      <c r="E22" s="1">
        <v>16</v>
      </c>
      <c r="F22" s="11">
        <v>13</v>
      </c>
      <c r="G22" s="11">
        <v>14</v>
      </c>
      <c r="H22" s="1">
        <f t="shared" si="0"/>
        <v>-3</v>
      </c>
      <c r="I22" s="1">
        <f t="shared" si="1"/>
        <v>-2</v>
      </c>
      <c r="J22" s="1">
        <f t="shared" si="2"/>
        <v>3</v>
      </c>
      <c r="K22" s="1">
        <f t="shared" si="3"/>
        <v>2</v>
      </c>
      <c r="L22" s="1">
        <f t="shared" si="4"/>
        <v>9</v>
      </c>
      <c r="M22" s="1">
        <f t="shared" si="5"/>
        <v>4</v>
      </c>
    </row>
    <row r="23" spans="1:13" x14ac:dyDescent="0.4">
      <c r="A23" s="9">
        <v>22</v>
      </c>
      <c r="B23">
        <v>42</v>
      </c>
      <c r="C23" s="14">
        <f t="shared" si="6"/>
        <v>8.4</v>
      </c>
      <c r="D23" s="2">
        <v>2.9166666666666698E-2</v>
      </c>
      <c r="E23" s="1">
        <v>15</v>
      </c>
      <c r="F23" s="11">
        <v>13</v>
      </c>
      <c r="G23" s="8">
        <v>9</v>
      </c>
      <c r="H23" s="1">
        <f t="shared" si="0"/>
        <v>-2</v>
      </c>
      <c r="I23" s="1">
        <f t="shared" si="1"/>
        <v>-6</v>
      </c>
      <c r="J23" s="1">
        <f t="shared" si="2"/>
        <v>2</v>
      </c>
      <c r="K23" s="1">
        <f t="shared" si="3"/>
        <v>6</v>
      </c>
      <c r="L23" s="1">
        <f t="shared" si="4"/>
        <v>4</v>
      </c>
      <c r="M23" s="1">
        <f t="shared" si="5"/>
        <v>36</v>
      </c>
    </row>
    <row r="24" spans="1:13" x14ac:dyDescent="0.4">
      <c r="A24" s="9">
        <v>23</v>
      </c>
      <c r="B24">
        <v>44</v>
      </c>
      <c r="C24" s="14">
        <f t="shared" si="6"/>
        <v>8.8000000000000007</v>
      </c>
      <c r="D24" s="3">
        <v>3.05555555555556E-2</v>
      </c>
      <c r="E24" s="1">
        <v>15</v>
      </c>
      <c r="F24" s="11">
        <v>10</v>
      </c>
      <c r="G24" s="11">
        <v>11</v>
      </c>
      <c r="H24" s="1">
        <f t="shared" si="0"/>
        <v>-5</v>
      </c>
      <c r="I24" s="1">
        <f t="shared" si="1"/>
        <v>-4</v>
      </c>
      <c r="J24" s="1">
        <f t="shared" si="2"/>
        <v>5</v>
      </c>
      <c r="K24" s="1">
        <f t="shared" si="3"/>
        <v>4</v>
      </c>
      <c r="L24" s="1">
        <f t="shared" si="4"/>
        <v>25</v>
      </c>
      <c r="M24" s="1">
        <f t="shared" si="5"/>
        <v>16</v>
      </c>
    </row>
    <row r="25" spans="1:13" x14ac:dyDescent="0.4">
      <c r="A25" s="9">
        <v>24</v>
      </c>
      <c r="B25">
        <v>46</v>
      </c>
      <c r="C25" s="14">
        <f t="shared" si="6"/>
        <v>9.1999999999999993</v>
      </c>
      <c r="D25" s="3">
        <v>3.19444444444444E-2</v>
      </c>
      <c r="E25" s="1">
        <v>15</v>
      </c>
      <c r="F25" s="11">
        <v>10</v>
      </c>
      <c r="G25" s="11">
        <v>8</v>
      </c>
      <c r="H25" s="1">
        <f t="shared" si="0"/>
        <v>-5</v>
      </c>
      <c r="I25" s="1">
        <f t="shared" si="1"/>
        <v>-7</v>
      </c>
      <c r="J25" s="1">
        <f t="shared" si="2"/>
        <v>5</v>
      </c>
      <c r="K25" s="1">
        <f t="shared" si="3"/>
        <v>7</v>
      </c>
      <c r="L25" s="1">
        <f t="shared" si="4"/>
        <v>25</v>
      </c>
      <c r="M25" s="1">
        <f t="shared" si="5"/>
        <v>49</v>
      </c>
    </row>
    <row r="26" spans="1:13" x14ac:dyDescent="0.4">
      <c r="A26" s="9">
        <v>25</v>
      </c>
      <c r="B26" s="1">
        <v>48</v>
      </c>
      <c r="C26" s="14">
        <f t="shared" si="6"/>
        <v>9.6</v>
      </c>
      <c r="D26" s="2">
        <v>3.3333333333333298E-2</v>
      </c>
      <c r="E26" s="1">
        <v>15</v>
      </c>
      <c r="F26" s="11">
        <v>14</v>
      </c>
      <c r="G26" s="11">
        <v>14</v>
      </c>
      <c r="H26" s="1">
        <f t="shared" si="0"/>
        <v>-1</v>
      </c>
      <c r="I26" s="1">
        <f t="shared" si="1"/>
        <v>-1</v>
      </c>
      <c r="J26" s="1">
        <f t="shared" si="2"/>
        <v>1</v>
      </c>
      <c r="K26" s="1">
        <f t="shared" si="3"/>
        <v>1</v>
      </c>
      <c r="L26" s="1">
        <f t="shared" si="4"/>
        <v>1</v>
      </c>
      <c r="M26" s="1">
        <f t="shared" si="5"/>
        <v>1</v>
      </c>
    </row>
    <row r="27" spans="1:13" x14ac:dyDescent="0.4">
      <c r="A27" s="9">
        <v>26</v>
      </c>
      <c r="B27">
        <v>50</v>
      </c>
      <c r="C27" s="14">
        <f t="shared" si="6"/>
        <v>10</v>
      </c>
      <c r="D27" s="3">
        <v>3.4722222222222203E-2</v>
      </c>
      <c r="E27" s="1">
        <v>16</v>
      </c>
      <c r="F27" s="11">
        <v>14</v>
      </c>
      <c r="G27" s="11">
        <v>12</v>
      </c>
      <c r="H27" s="1">
        <f t="shared" si="0"/>
        <v>-2</v>
      </c>
      <c r="I27" s="1">
        <f t="shared" si="1"/>
        <v>-4</v>
      </c>
      <c r="J27" s="1">
        <f t="shared" si="2"/>
        <v>2</v>
      </c>
      <c r="K27" s="1">
        <f t="shared" si="3"/>
        <v>4</v>
      </c>
      <c r="L27" s="1">
        <f t="shared" si="4"/>
        <v>4</v>
      </c>
      <c r="M27" s="1">
        <f t="shared" si="5"/>
        <v>16</v>
      </c>
    </row>
    <row r="28" spans="1:13" x14ac:dyDescent="0.4">
      <c r="A28" s="9">
        <v>27</v>
      </c>
      <c r="B28">
        <v>52</v>
      </c>
      <c r="C28" s="14">
        <f t="shared" si="6"/>
        <v>10.4</v>
      </c>
      <c r="D28" s="3">
        <v>3.6111111111111101E-2</v>
      </c>
      <c r="E28" s="1">
        <v>17</v>
      </c>
      <c r="F28" s="11">
        <v>14</v>
      </c>
      <c r="G28" s="11">
        <v>14</v>
      </c>
      <c r="H28" s="1">
        <f t="shared" si="0"/>
        <v>-3</v>
      </c>
      <c r="I28" s="1">
        <f t="shared" si="1"/>
        <v>-3</v>
      </c>
      <c r="J28" s="1">
        <f t="shared" si="2"/>
        <v>3</v>
      </c>
      <c r="K28" s="1">
        <f t="shared" si="3"/>
        <v>3</v>
      </c>
      <c r="L28" s="1">
        <f t="shared" si="4"/>
        <v>9</v>
      </c>
      <c r="M28" s="1">
        <f t="shared" si="5"/>
        <v>9</v>
      </c>
    </row>
    <row r="29" spans="1:13" x14ac:dyDescent="0.4">
      <c r="A29" s="9">
        <v>28</v>
      </c>
      <c r="B29">
        <v>54</v>
      </c>
      <c r="C29" s="14">
        <f t="shared" si="6"/>
        <v>10.8</v>
      </c>
      <c r="D29" s="2">
        <v>3.7499999999999999E-2</v>
      </c>
      <c r="E29" s="1">
        <v>16</v>
      </c>
      <c r="F29" s="11">
        <v>12</v>
      </c>
      <c r="G29" s="11">
        <v>12</v>
      </c>
      <c r="H29" s="1">
        <f t="shared" si="0"/>
        <v>-4</v>
      </c>
      <c r="I29" s="1">
        <f t="shared" si="1"/>
        <v>-4</v>
      </c>
      <c r="J29" s="1">
        <f t="shared" si="2"/>
        <v>4</v>
      </c>
      <c r="K29" s="1">
        <f t="shared" si="3"/>
        <v>4</v>
      </c>
      <c r="L29" s="1">
        <f t="shared" si="4"/>
        <v>16</v>
      </c>
      <c r="M29" s="1">
        <f t="shared" si="5"/>
        <v>16</v>
      </c>
    </row>
    <row r="30" spans="1:13" x14ac:dyDescent="0.4">
      <c r="A30" s="9">
        <v>29</v>
      </c>
      <c r="B30" s="1">
        <v>56</v>
      </c>
      <c r="C30" s="14">
        <f t="shared" si="6"/>
        <v>11.2</v>
      </c>
      <c r="D30" s="3">
        <v>3.8888888888888903E-2</v>
      </c>
      <c r="E30" s="1">
        <v>16</v>
      </c>
      <c r="F30" s="11">
        <v>12</v>
      </c>
      <c r="G30" s="11">
        <v>13</v>
      </c>
      <c r="H30" s="1">
        <f t="shared" si="0"/>
        <v>-4</v>
      </c>
      <c r="I30" s="1">
        <f t="shared" si="1"/>
        <v>-3</v>
      </c>
      <c r="J30" s="1">
        <f t="shared" si="2"/>
        <v>4</v>
      </c>
      <c r="K30" s="1">
        <f t="shared" si="3"/>
        <v>3</v>
      </c>
      <c r="L30" s="1">
        <f t="shared" si="4"/>
        <v>16</v>
      </c>
      <c r="M30" s="1">
        <f t="shared" si="5"/>
        <v>9</v>
      </c>
    </row>
    <row r="31" spans="1:13" x14ac:dyDescent="0.4">
      <c r="A31" s="9">
        <v>30</v>
      </c>
      <c r="B31">
        <v>58</v>
      </c>
      <c r="C31" s="14">
        <f t="shared" si="6"/>
        <v>11.6</v>
      </c>
      <c r="D31" s="3">
        <v>4.0277777777777801E-2</v>
      </c>
      <c r="E31" s="1">
        <v>16</v>
      </c>
      <c r="F31" s="11">
        <v>12</v>
      </c>
      <c r="G31" s="11">
        <v>12</v>
      </c>
      <c r="H31" s="1">
        <f t="shared" si="0"/>
        <v>-4</v>
      </c>
      <c r="I31" s="1">
        <f t="shared" si="1"/>
        <v>-4</v>
      </c>
      <c r="J31" s="1">
        <f t="shared" si="2"/>
        <v>4</v>
      </c>
      <c r="K31" s="1">
        <f t="shared" si="3"/>
        <v>4</v>
      </c>
      <c r="L31" s="1">
        <f t="shared" si="4"/>
        <v>16</v>
      </c>
      <c r="M31" s="1">
        <f t="shared" si="5"/>
        <v>16</v>
      </c>
    </row>
    <row r="32" spans="1:13" x14ac:dyDescent="0.4">
      <c r="A32" s="9">
        <v>31</v>
      </c>
      <c r="B32">
        <v>60</v>
      </c>
      <c r="C32" s="14">
        <f t="shared" si="6"/>
        <v>12</v>
      </c>
      <c r="D32" s="2">
        <v>4.1666666666666699E-2</v>
      </c>
      <c r="E32" s="1">
        <v>16</v>
      </c>
      <c r="F32" s="11">
        <v>10</v>
      </c>
      <c r="G32" s="11">
        <v>9</v>
      </c>
      <c r="H32" s="1">
        <f t="shared" si="0"/>
        <v>-6</v>
      </c>
      <c r="I32" s="1">
        <f t="shared" si="1"/>
        <v>-7</v>
      </c>
      <c r="J32" s="1">
        <f t="shared" si="2"/>
        <v>6</v>
      </c>
      <c r="K32" s="1">
        <f t="shared" si="3"/>
        <v>7</v>
      </c>
      <c r="L32" s="1">
        <f t="shared" si="4"/>
        <v>36</v>
      </c>
      <c r="M32" s="1">
        <f t="shared" si="5"/>
        <v>49</v>
      </c>
    </row>
    <row r="33" spans="1:13" x14ac:dyDescent="0.4">
      <c r="A33" s="9">
        <v>32</v>
      </c>
      <c r="B33">
        <v>62</v>
      </c>
      <c r="C33" s="14">
        <f t="shared" si="6"/>
        <v>12.4</v>
      </c>
      <c r="D33" s="3">
        <v>4.3055555555555597E-2</v>
      </c>
      <c r="E33" s="1">
        <v>16</v>
      </c>
      <c r="F33" s="11">
        <v>8</v>
      </c>
      <c r="G33" s="11">
        <v>13</v>
      </c>
      <c r="H33" s="1">
        <f t="shared" si="0"/>
        <v>-8</v>
      </c>
      <c r="I33" s="1">
        <f t="shared" si="1"/>
        <v>-3</v>
      </c>
      <c r="J33" s="1">
        <f t="shared" si="2"/>
        <v>8</v>
      </c>
      <c r="K33" s="1">
        <f t="shared" si="3"/>
        <v>3</v>
      </c>
      <c r="L33" s="1">
        <f t="shared" si="4"/>
        <v>64</v>
      </c>
      <c r="M33" s="1">
        <f t="shared" si="5"/>
        <v>9</v>
      </c>
    </row>
    <row r="34" spans="1:13" x14ac:dyDescent="0.4">
      <c r="A34" s="9">
        <v>33</v>
      </c>
      <c r="B34" s="1">
        <v>64</v>
      </c>
      <c r="C34" s="14">
        <f t="shared" si="6"/>
        <v>12.8</v>
      </c>
      <c r="D34" s="3">
        <v>4.4444444444444398E-2</v>
      </c>
      <c r="E34" s="1">
        <v>16</v>
      </c>
      <c r="F34" s="11">
        <v>8</v>
      </c>
      <c r="G34" s="11">
        <v>10</v>
      </c>
      <c r="H34" s="1">
        <f t="shared" si="0"/>
        <v>-8</v>
      </c>
      <c r="I34" s="1">
        <f t="shared" si="1"/>
        <v>-6</v>
      </c>
      <c r="J34" s="1">
        <f t="shared" si="2"/>
        <v>8</v>
      </c>
      <c r="K34" s="1">
        <f t="shared" si="3"/>
        <v>6</v>
      </c>
      <c r="L34" s="1">
        <f t="shared" si="4"/>
        <v>64</v>
      </c>
      <c r="M34" s="1">
        <f t="shared" si="5"/>
        <v>36</v>
      </c>
    </row>
    <row r="35" spans="1:13" x14ac:dyDescent="0.4">
      <c r="A35" s="9">
        <v>34</v>
      </c>
      <c r="B35">
        <v>66</v>
      </c>
      <c r="C35" s="14">
        <f t="shared" si="6"/>
        <v>13.2</v>
      </c>
      <c r="D35" s="2">
        <v>4.5833333333333302E-2</v>
      </c>
      <c r="E35" s="1">
        <v>16</v>
      </c>
      <c r="F35" s="11">
        <v>12</v>
      </c>
      <c r="G35" s="11">
        <v>8</v>
      </c>
      <c r="H35" s="1">
        <f t="shared" si="0"/>
        <v>-4</v>
      </c>
      <c r="I35" s="1">
        <f t="shared" si="1"/>
        <v>-8</v>
      </c>
      <c r="J35" s="1">
        <f t="shared" si="2"/>
        <v>4</v>
      </c>
      <c r="K35" s="1">
        <f t="shared" si="3"/>
        <v>8</v>
      </c>
      <c r="L35" s="1">
        <f t="shared" si="4"/>
        <v>16</v>
      </c>
      <c r="M35" s="1">
        <f t="shared" si="5"/>
        <v>64</v>
      </c>
    </row>
    <row r="36" spans="1:13" x14ac:dyDescent="0.4">
      <c r="A36" s="9">
        <v>35</v>
      </c>
      <c r="B36">
        <v>68</v>
      </c>
      <c r="C36" s="14">
        <f t="shared" si="6"/>
        <v>13.6</v>
      </c>
      <c r="D36" s="3">
        <v>4.72222222222222E-2</v>
      </c>
      <c r="E36" s="1">
        <v>16</v>
      </c>
      <c r="F36" s="11">
        <v>12</v>
      </c>
      <c r="G36" s="11">
        <v>9</v>
      </c>
      <c r="H36" s="1">
        <f t="shared" si="0"/>
        <v>-4</v>
      </c>
      <c r="I36" s="1">
        <f t="shared" si="1"/>
        <v>-7</v>
      </c>
      <c r="J36" s="1">
        <f t="shared" si="2"/>
        <v>4</v>
      </c>
      <c r="K36" s="1">
        <f t="shared" si="3"/>
        <v>7</v>
      </c>
      <c r="L36" s="1">
        <f t="shared" si="4"/>
        <v>16</v>
      </c>
      <c r="M36" s="1">
        <f t="shared" si="5"/>
        <v>49</v>
      </c>
    </row>
    <row r="37" spans="1:13" x14ac:dyDescent="0.4">
      <c r="A37" s="9">
        <v>36</v>
      </c>
      <c r="B37">
        <v>70</v>
      </c>
      <c r="C37" s="14">
        <f t="shared" si="6"/>
        <v>14</v>
      </c>
      <c r="D37" s="3">
        <v>4.8611111111111098E-2</v>
      </c>
      <c r="E37">
        <v>17</v>
      </c>
      <c r="F37" s="11">
        <v>12</v>
      </c>
      <c r="G37" s="11">
        <v>9</v>
      </c>
      <c r="H37" s="1">
        <f t="shared" si="0"/>
        <v>-5</v>
      </c>
      <c r="I37" s="1">
        <f t="shared" si="1"/>
        <v>-8</v>
      </c>
      <c r="J37" s="1">
        <f t="shared" si="2"/>
        <v>5</v>
      </c>
      <c r="K37" s="1">
        <f t="shared" si="3"/>
        <v>8</v>
      </c>
      <c r="L37" s="1">
        <f t="shared" si="4"/>
        <v>25</v>
      </c>
      <c r="M37" s="1">
        <f t="shared" si="5"/>
        <v>64</v>
      </c>
    </row>
    <row r="38" spans="1:13" x14ac:dyDescent="0.4">
      <c r="A38" s="9">
        <v>37</v>
      </c>
      <c r="B38" s="1">
        <v>72</v>
      </c>
      <c r="C38" s="14">
        <f t="shared" si="6"/>
        <v>14.4</v>
      </c>
      <c r="D38" s="2">
        <v>0.05</v>
      </c>
      <c r="E38" s="1">
        <v>18</v>
      </c>
      <c r="F38" s="11">
        <v>12</v>
      </c>
      <c r="G38" s="8">
        <v>9</v>
      </c>
      <c r="H38" s="1">
        <f t="shared" si="0"/>
        <v>-6</v>
      </c>
      <c r="I38" s="1">
        <f t="shared" si="1"/>
        <v>-9</v>
      </c>
      <c r="J38" s="1">
        <f t="shared" si="2"/>
        <v>6</v>
      </c>
      <c r="K38" s="1">
        <f t="shared" si="3"/>
        <v>9</v>
      </c>
      <c r="L38" s="1">
        <f t="shared" si="4"/>
        <v>36</v>
      </c>
      <c r="M38" s="1">
        <f t="shared" si="5"/>
        <v>81</v>
      </c>
    </row>
    <row r="39" spans="1:13" x14ac:dyDescent="0.4">
      <c r="A39" s="9">
        <v>38</v>
      </c>
      <c r="B39">
        <v>74</v>
      </c>
      <c r="C39" s="14">
        <f t="shared" si="6"/>
        <v>14.8</v>
      </c>
      <c r="D39" s="3">
        <v>5.1388888888888901E-2</v>
      </c>
      <c r="E39" s="1">
        <v>18</v>
      </c>
      <c r="F39" s="11">
        <v>12</v>
      </c>
      <c r="G39" s="11">
        <v>7</v>
      </c>
      <c r="H39" s="1">
        <f t="shared" si="0"/>
        <v>-6</v>
      </c>
      <c r="I39" s="1">
        <f t="shared" si="1"/>
        <v>-11</v>
      </c>
      <c r="J39" s="1">
        <f t="shared" si="2"/>
        <v>6</v>
      </c>
      <c r="K39" s="1">
        <f t="shared" si="3"/>
        <v>11</v>
      </c>
      <c r="L39" s="1">
        <f t="shared" si="4"/>
        <v>36</v>
      </c>
      <c r="M39" s="1">
        <f t="shared" si="5"/>
        <v>121</v>
      </c>
    </row>
    <row r="40" spans="1:13" x14ac:dyDescent="0.4">
      <c r="A40" s="9">
        <v>39</v>
      </c>
      <c r="B40">
        <v>76</v>
      </c>
      <c r="C40" s="14">
        <f t="shared" si="6"/>
        <v>15.2</v>
      </c>
      <c r="D40" s="3">
        <v>5.2777777777777798E-2</v>
      </c>
      <c r="E40" s="1">
        <v>18</v>
      </c>
      <c r="F40" s="11">
        <v>11</v>
      </c>
      <c r="G40" s="11">
        <v>12</v>
      </c>
      <c r="H40" s="1">
        <f t="shared" si="0"/>
        <v>-7</v>
      </c>
      <c r="I40" s="1">
        <f t="shared" si="1"/>
        <v>-6</v>
      </c>
      <c r="J40" s="1">
        <f t="shared" si="2"/>
        <v>7</v>
      </c>
      <c r="K40" s="1">
        <f t="shared" si="3"/>
        <v>6</v>
      </c>
      <c r="L40" s="1">
        <f t="shared" si="4"/>
        <v>49</v>
      </c>
      <c r="M40" s="1">
        <f t="shared" si="5"/>
        <v>36</v>
      </c>
    </row>
    <row r="41" spans="1:13" x14ac:dyDescent="0.4">
      <c r="A41" s="9">
        <v>40</v>
      </c>
      <c r="B41">
        <v>78</v>
      </c>
      <c r="C41" s="14">
        <f t="shared" si="6"/>
        <v>15.6</v>
      </c>
      <c r="D41" s="2">
        <v>5.4166666666666703E-2</v>
      </c>
      <c r="E41" s="1">
        <v>18</v>
      </c>
      <c r="F41" s="11">
        <v>11</v>
      </c>
      <c r="G41" s="11">
        <v>7</v>
      </c>
      <c r="H41" s="1">
        <f t="shared" si="0"/>
        <v>-7</v>
      </c>
      <c r="I41" s="1">
        <f t="shared" si="1"/>
        <v>-11</v>
      </c>
      <c r="J41" s="1">
        <f t="shared" si="2"/>
        <v>7</v>
      </c>
      <c r="K41" s="1">
        <f t="shared" si="3"/>
        <v>11</v>
      </c>
      <c r="L41" s="1">
        <f t="shared" si="4"/>
        <v>49</v>
      </c>
      <c r="M41" s="1">
        <f t="shared" si="5"/>
        <v>121</v>
      </c>
    </row>
    <row r="42" spans="1:13" x14ac:dyDescent="0.4">
      <c r="A42" s="9">
        <v>41</v>
      </c>
      <c r="B42" s="1">
        <v>80</v>
      </c>
      <c r="C42" s="14">
        <f t="shared" si="6"/>
        <v>16</v>
      </c>
      <c r="D42" s="3">
        <v>5.5555555555555601E-2</v>
      </c>
      <c r="E42" s="1">
        <v>18</v>
      </c>
      <c r="F42" s="8">
        <v>15</v>
      </c>
      <c r="G42" s="11">
        <v>11</v>
      </c>
      <c r="H42" s="1">
        <f t="shared" si="0"/>
        <v>-3</v>
      </c>
      <c r="I42" s="1">
        <f t="shared" si="1"/>
        <v>-7</v>
      </c>
      <c r="J42" s="1">
        <f t="shared" si="2"/>
        <v>3</v>
      </c>
      <c r="K42" s="1">
        <f t="shared" si="3"/>
        <v>7</v>
      </c>
      <c r="L42" s="1">
        <f t="shared" si="4"/>
        <v>9</v>
      </c>
      <c r="M42" s="1">
        <f t="shared" si="5"/>
        <v>49</v>
      </c>
    </row>
    <row r="43" spans="1:13" x14ac:dyDescent="0.4">
      <c r="A43" s="9">
        <v>42</v>
      </c>
      <c r="B43">
        <v>82</v>
      </c>
      <c r="C43" s="14">
        <f t="shared" si="6"/>
        <v>16.399999999999999</v>
      </c>
      <c r="D43" s="3">
        <v>5.6944444444444402E-2</v>
      </c>
      <c r="E43" s="1">
        <v>18</v>
      </c>
      <c r="F43" s="8">
        <v>15</v>
      </c>
      <c r="G43" s="8">
        <v>14</v>
      </c>
      <c r="H43" s="1">
        <f t="shared" si="0"/>
        <v>-3</v>
      </c>
      <c r="I43" s="1">
        <f t="shared" si="1"/>
        <v>-4</v>
      </c>
      <c r="J43" s="1">
        <f t="shared" si="2"/>
        <v>3</v>
      </c>
      <c r="K43" s="1">
        <f t="shared" si="3"/>
        <v>4</v>
      </c>
      <c r="L43" s="1">
        <f t="shared" si="4"/>
        <v>9</v>
      </c>
      <c r="M43" s="1">
        <f t="shared" si="5"/>
        <v>16</v>
      </c>
    </row>
    <row r="44" spans="1:13" x14ac:dyDescent="0.4">
      <c r="A44" s="9">
        <v>43</v>
      </c>
      <c r="B44">
        <v>84</v>
      </c>
      <c r="C44" s="14">
        <f t="shared" si="6"/>
        <v>16.8</v>
      </c>
      <c r="D44" s="2">
        <v>5.83333333333333E-2</v>
      </c>
      <c r="E44" s="1">
        <v>18</v>
      </c>
      <c r="F44" s="11">
        <v>11</v>
      </c>
      <c r="G44" s="11">
        <v>11</v>
      </c>
      <c r="H44" s="1">
        <f t="shared" si="0"/>
        <v>-7</v>
      </c>
      <c r="I44" s="1">
        <f t="shared" si="1"/>
        <v>-7</v>
      </c>
      <c r="J44" s="1">
        <f t="shared" si="2"/>
        <v>7</v>
      </c>
      <c r="K44" s="1">
        <f t="shared" si="3"/>
        <v>7</v>
      </c>
      <c r="L44" s="1">
        <f t="shared" si="4"/>
        <v>49</v>
      </c>
      <c r="M44" s="1">
        <f t="shared" si="5"/>
        <v>49</v>
      </c>
    </row>
    <row r="45" spans="1:13" x14ac:dyDescent="0.4">
      <c r="A45" s="9">
        <v>44</v>
      </c>
      <c r="B45">
        <v>86</v>
      </c>
      <c r="C45" s="14">
        <f t="shared" si="6"/>
        <v>17.2</v>
      </c>
      <c r="D45" s="3">
        <v>5.9722222222222197E-2</v>
      </c>
      <c r="E45" s="1">
        <v>17</v>
      </c>
      <c r="F45" s="11">
        <v>11</v>
      </c>
      <c r="G45" s="11">
        <v>8</v>
      </c>
      <c r="H45" s="1">
        <f t="shared" si="0"/>
        <v>-6</v>
      </c>
      <c r="I45" s="1">
        <f t="shared" si="1"/>
        <v>-9</v>
      </c>
      <c r="J45" s="1">
        <f t="shared" si="2"/>
        <v>6</v>
      </c>
      <c r="K45" s="1">
        <f t="shared" si="3"/>
        <v>9</v>
      </c>
      <c r="L45" s="1">
        <f t="shared" si="4"/>
        <v>36</v>
      </c>
      <c r="M45" s="1">
        <f t="shared" si="5"/>
        <v>81</v>
      </c>
    </row>
    <row r="46" spans="1:13" x14ac:dyDescent="0.4">
      <c r="A46" s="9">
        <v>45</v>
      </c>
      <c r="B46" s="1">
        <v>88</v>
      </c>
      <c r="C46" s="14">
        <f t="shared" si="6"/>
        <v>17.600000000000001</v>
      </c>
      <c r="D46" s="3">
        <v>6.1111111111111102E-2</v>
      </c>
      <c r="E46" s="1">
        <v>17</v>
      </c>
      <c r="F46" s="11">
        <v>11</v>
      </c>
      <c r="G46" s="11">
        <v>9</v>
      </c>
      <c r="H46" s="1">
        <f t="shared" si="0"/>
        <v>-6</v>
      </c>
      <c r="I46" s="1">
        <f t="shared" si="1"/>
        <v>-8</v>
      </c>
      <c r="J46" s="1">
        <f t="shared" si="2"/>
        <v>6</v>
      </c>
      <c r="K46" s="1">
        <f t="shared" si="3"/>
        <v>8</v>
      </c>
      <c r="L46" s="1">
        <f t="shared" si="4"/>
        <v>36</v>
      </c>
      <c r="M46" s="1">
        <f t="shared" si="5"/>
        <v>64</v>
      </c>
    </row>
    <row r="47" spans="1:13" x14ac:dyDescent="0.4">
      <c r="A47" s="9">
        <v>46</v>
      </c>
      <c r="B47">
        <v>90</v>
      </c>
      <c r="C47" s="14">
        <f t="shared" si="6"/>
        <v>18</v>
      </c>
      <c r="D47" s="2">
        <v>6.25E-2</v>
      </c>
      <c r="E47" s="1">
        <v>17</v>
      </c>
      <c r="F47" s="11">
        <v>11</v>
      </c>
      <c r="G47" s="11">
        <v>11</v>
      </c>
      <c r="H47" s="1">
        <f t="shared" si="0"/>
        <v>-6</v>
      </c>
      <c r="I47" s="1">
        <f t="shared" si="1"/>
        <v>-6</v>
      </c>
      <c r="J47" s="1">
        <f t="shared" si="2"/>
        <v>6</v>
      </c>
      <c r="K47" s="1">
        <f t="shared" si="3"/>
        <v>6</v>
      </c>
      <c r="L47" s="1">
        <f t="shared" si="4"/>
        <v>36</v>
      </c>
      <c r="M47" s="1">
        <f t="shared" si="5"/>
        <v>36</v>
      </c>
    </row>
    <row r="48" spans="1:13" x14ac:dyDescent="0.4">
      <c r="A48" s="9">
        <v>47</v>
      </c>
      <c r="B48">
        <v>92</v>
      </c>
      <c r="C48" s="14">
        <f t="shared" si="6"/>
        <v>18.399999999999999</v>
      </c>
      <c r="D48" s="3">
        <v>6.3888888888888898E-2</v>
      </c>
      <c r="E48" s="1">
        <v>17</v>
      </c>
      <c r="F48" s="11">
        <v>12</v>
      </c>
      <c r="G48" s="8">
        <v>12</v>
      </c>
      <c r="H48" s="1">
        <f t="shared" si="0"/>
        <v>-5</v>
      </c>
      <c r="I48" s="1">
        <f t="shared" si="1"/>
        <v>-5</v>
      </c>
      <c r="J48" s="1">
        <f t="shared" si="2"/>
        <v>5</v>
      </c>
      <c r="K48" s="1">
        <f t="shared" si="3"/>
        <v>5</v>
      </c>
      <c r="L48" s="1">
        <f t="shared" si="4"/>
        <v>25</v>
      </c>
      <c r="M48" s="1">
        <f t="shared" si="5"/>
        <v>25</v>
      </c>
    </row>
    <row r="49" spans="1:13" x14ac:dyDescent="0.4">
      <c r="A49" s="9">
        <v>48</v>
      </c>
      <c r="B49">
        <v>94</v>
      </c>
      <c r="C49" s="14">
        <f t="shared" si="6"/>
        <v>18.8</v>
      </c>
      <c r="D49" s="3">
        <v>6.5277777777777796E-2</v>
      </c>
      <c r="E49" s="1">
        <v>17</v>
      </c>
      <c r="F49" s="11">
        <v>12</v>
      </c>
      <c r="G49" s="11">
        <v>10</v>
      </c>
      <c r="H49" s="1">
        <f t="shared" si="0"/>
        <v>-5</v>
      </c>
      <c r="I49" s="1">
        <f t="shared" si="1"/>
        <v>-7</v>
      </c>
      <c r="J49" s="1">
        <f t="shared" si="2"/>
        <v>5</v>
      </c>
      <c r="K49" s="1">
        <f t="shared" si="3"/>
        <v>7</v>
      </c>
      <c r="L49" s="1">
        <f t="shared" si="4"/>
        <v>25</v>
      </c>
      <c r="M49" s="1">
        <f t="shared" si="5"/>
        <v>49</v>
      </c>
    </row>
    <row r="50" spans="1:13" x14ac:dyDescent="0.4">
      <c r="A50" s="9">
        <v>49</v>
      </c>
      <c r="B50" s="1">
        <v>96</v>
      </c>
      <c r="C50" s="14">
        <f t="shared" si="6"/>
        <v>19.2</v>
      </c>
      <c r="D50" s="2">
        <v>6.6666666666666693E-2</v>
      </c>
      <c r="E50" s="1">
        <v>17</v>
      </c>
      <c r="F50" s="11">
        <v>12</v>
      </c>
      <c r="G50" s="11">
        <v>10</v>
      </c>
      <c r="H50" s="1">
        <f t="shared" si="0"/>
        <v>-5</v>
      </c>
      <c r="I50" s="1">
        <f t="shared" si="1"/>
        <v>-7</v>
      </c>
      <c r="J50" s="1">
        <f t="shared" si="2"/>
        <v>5</v>
      </c>
      <c r="K50" s="1">
        <f t="shared" si="3"/>
        <v>7</v>
      </c>
      <c r="L50" s="1">
        <f t="shared" si="4"/>
        <v>25</v>
      </c>
      <c r="M50" s="1">
        <f t="shared" si="5"/>
        <v>49</v>
      </c>
    </row>
    <row r="51" spans="1:13" x14ac:dyDescent="0.4">
      <c r="A51" s="9">
        <v>50</v>
      </c>
      <c r="B51">
        <v>98</v>
      </c>
      <c r="C51" s="14">
        <f t="shared" si="6"/>
        <v>19.600000000000001</v>
      </c>
      <c r="D51" s="3">
        <v>6.8055555555555605E-2</v>
      </c>
      <c r="E51" s="1">
        <v>17</v>
      </c>
      <c r="F51" s="11">
        <v>12</v>
      </c>
      <c r="G51" s="11">
        <v>10</v>
      </c>
      <c r="H51" s="1">
        <f t="shared" si="0"/>
        <v>-5</v>
      </c>
      <c r="I51" s="1">
        <f t="shared" si="1"/>
        <v>-7</v>
      </c>
      <c r="J51" s="1">
        <f t="shared" si="2"/>
        <v>5</v>
      </c>
      <c r="K51" s="1">
        <f t="shared" si="3"/>
        <v>7</v>
      </c>
      <c r="L51" s="1">
        <f t="shared" si="4"/>
        <v>25</v>
      </c>
      <c r="M51" s="1">
        <f t="shared" si="5"/>
        <v>49</v>
      </c>
    </row>
    <row r="52" spans="1:13" x14ac:dyDescent="0.4">
      <c r="A52" s="9">
        <v>51</v>
      </c>
      <c r="B52">
        <v>100</v>
      </c>
      <c r="C52" s="14">
        <f t="shared" si="6"/>
        <v>20</v>
      </c>
      <c r="D52" s="3">
        <v>6.9444444444444406E-2</v>
      </c>
      <c r="E52" s="1">
        <v>17</v>
      </c>
      <c r="F52" s="8">
        <v>10</v>
      </c>
      <c r="G52" s="11">
        <v>11</v>
      </c>
      <c r="H52" s="1">
        <f t="shared" si="0"/>
        <v>-7</v>
      </c>
      <c r="I52" s="1">
        <f t="shared" si="1"/>
        <v>-6</v>
      </c>
      <c r="J52" s="1">
        <f t="shared" si="2"/>
        <v>7</v>
      </c>
      <c r="K52" s="1">
        <f t="shared" si="3"/>
        <v>6</v>
      </c>
      <c r="L52" s="1">
        <f t="shared" si="4"/>
        <v>49</v>
      </c>
      <c r="M52" s="1">
        <f t="shared" si="5"/>
        <v>36</v>
      </c>
    </row>
    <row r="53" spans="1:13" x14ac:dyDescent="0.4">
      <c r="A53" s="9">
        <v>52</v>
      </c>
      <c r="B53">
        <v>102</v>
      </c>
      <c r="C53" s="14">
        <f t="shared" si="6"/>
        <v>20.399999999999999</v>
      </c>
      <c r="D53" s="2">
        <v>7.0833333333333304E-2</v>
      </c>
      <c r="E53" s="1">
        <v>17</v>
      </c>
      <c r="F53" s="8">
        <v>10</v>
      </c>
      <c r="G53" s="8">
        <v>9</v>
      </c>
      <c r="H53" s="1">
        <f t="shared" si="0"/>
        <v>-7</v>
      </c>
      <c r="I53" s="1">
        <f t="shared" si="1"/>
        <v>-8</v>
      </c>
      <c r="J53" s="1">
        <f t="shared" si="2"/>
        <v>7</v>
      </c>
      <c r="K53" s="1">
        <f t="shared" si="3"/>
        <v>8</v>
      </c>
      <c r="L53" s="1">
        <f t="shared" si="4"/>
        <v>49</v>
      </c>
      <c r="M53" s="1">
        <f t="shared" si="5"/>
        <v>64</v>
      </c>
    </row>
    <row r="54" spans="1:13" x14ac:dyDescent="0.4">
      <c r="A54" s="9">
        <v>53</v>
      </c>
      <c r="B54" s="1">
        <v>104</v>
      </c>
      <c r="C54" s="14">
        <f t="shared" si="6"/>
        <v>20.8</v>
      </c>
      <c r="D54" s="3">
        <v>7.2222222222222202E-2</v>
      </c>
      <c r="E54" s="1">
        <v>17</v>
      </c>
      <c r="F54" s="8">
        <v>10</v>
      </c>
      <c r="G54" s="11">
        <v>9</v>
      </c>
      <c r="H54" s="1">
        <f t="shared" si="0"/>
        <v>-7</v>
      </c>
      <c r="I54" s="1">
        <f t="shared" si="1"/>
        <v>-8</v>
      </c>
      <c r="J54" s="1">
        <f t="shared" si="2"/>
        <v>7</v>
      </c>
      <c r="K54" s="1">
        <f t="shared" si="3"/>
        <v>8</v>
      </c>
      <c r="L54" s="1">
        <f t="shared" si="4"/>
        <v>49</v>
      </c>
      <c r="M54" s="1">
        <f t="shared" si="5"/>
        <v>64</v>
      </c>
    </row>
    <row r="55" spans="1:13" x14ac:dyDescent="0.4">
      <c r="A55" s="9">
        <v>54</v>
      </c>
      <c r="B55">
        <v>106</v>
      </c>
      <c r="C55" s="14">
        <f t="shared" si="6"/>
        <v>21.2</v>
      </c>
      <c r="D55" s="3">
        <v>7.3611111111111099E-2</v>
      </c>
      <c r="E55" s="1">
        <v>17</v>
      </c>
      <c r="F55" s="11">
        <v>13</v>
      </c>
      <c r="G55" s="11">
        <v>10</v>
      </c>
      <c r="H55" s="1">
        <f t="shared" si="0"/>
        <v>-4</v>
      </c>
      <c r="I55" s="1">
        <f t="shared" si="1"/>
        <v>-7</v>
      </c>
      <c r="J55" s="1">
        <f t="shared" si="2"/>
        <v>4</v>
      </c>
      <c r="K55" s="1">
        <f t="shared" si="3"/>
        <v>7</v>
      </c>
      <c r="L55" s="1">
        <f t="shared" si="4"/>
        <v>16</v>
      </c>
      <c r="M55" s="1">
        <f t="shared" si="5"/>
        <v>49</v>
      </c>
    </row>
    <row r="56" spans="1:13" x14ac:dyDescent="0.4">
      <c r="A56" s="9">
        <v>55</v>
      </c>
      <c r="B56">
        <v>108</v>
      </c>
      <c r="C56" s="14">
        <f t="shared" si="6"/>
        <v>21.6</v>
      </c>
      <c r="D56" s="2">
        <v>7.4999999999999997E-2</v>
      </c>
      <c r="E56" s="1">
        <v>17</v>
      </c>
      <c r="F56" s="11">
        <v>13</v>
      </c>
      <c r="G56" s="11">
        <v>13</v>
      </c>
      <c r="H56" s="1">
        <f t="shared" si="0"/>
        <v>-4</v>
      </c>
      <c r="I56" s="1">
        <f t="shared" si="1"/>
        <v>-4</v>
      </c>
      <c r="J56" s="1">
        <f t="shared" si="2"/>
        <v>4</v>
      </c>
      <c r="K56" s="1">
        <f t="shared" si="3"/>
        <v>4</v>
      </c>
      <c r="L56" s="1">
        <f t="shared" si="4"/>
        <v>16</v>
      </c>
      <c r="M56" s="1">
        <f t="shared" si="5"/>
        <v>16</v>
      </c>
    </row>
    <row r="57" spans="1:13" x14ac:dyDescent="0.4">
      <c r="A57" s="9">
        <v>56</v>
      </c>
      <c r="B57">
        <v>110</v>
      </c>
      <c r="C57" s="14">
        <f t="shared" si="6"/>
        <v>22</v>
      </c>
      <c r="D57" s="3">
        <v>7.6388888888888895E-2</v>
      </c>
      <c r="E57" s="1">
        <v>17</v>
      </c>
      <c r="F57" s="8">
        <v>11</v>
      </c>
      <c r="G57" s="11">
        <v>13</v>
      </c>
      <c r="H57" s="1">
        <f t="shared" si="0"/>
        <v>-6</v>
      </c>
      <c r="I57" s="1">
        <f t="shared" si="1"/>
        <v>-4</v>
      </c>
      <c r="J57" s="1">
        <f t="shared" si="2"/>
        <v>6</v>
      </c>
      <c r="K57" s="1">
        <f t="shared" si="3"/>
        <v>4</v>
      </c>
      <c r="L57" s="1">
        <f t="shared" si="4"/>
        <v>36</v>
      </c>
      <c r="M57" s="1">
        <f t="shared" si="5"/>
        <v>16</v>
      </c>
    </row>
    <row r="58" spans="1:13" x14ac:dyDescent="0.4">
      <c r="A58" s="9">
        <v>57</v>
      </c>
      <c r="B58" s="1">
        <v>112</v>
      </c>
      <c r="C58" s="14">
        <f t="shared" si="6"/>
        <v>22.4</v>
      </c>
      <c r="D58" s="3">
        <v>7.7777777777777807E-2</v>
      </c>
      <c r="E58" s="1">
        <v>17</v>
      </c>
      <c r="F58" s="11">
        <v>10</v>
      </c>
      <c r="G58" s="8">
        <v>10</v>
      </c>
      <c r="H58" s="1">
        <f t="shared" si="0"/>
        <v>-7</v>
      </c>
      <c r="I58" s="1">
        <f t="shared" si="1"/>
        <v>-7</v>
      </c>
      <c r="J58" s="1">
        <f t="shared" si="2"/>
        <v>7</v>
      </c>
      <c r="K58" s="1">
        <f t="shared" si="3"/>
        <v>7</v>
      </c>
      <c r="L58" s="1">
        <f t="shared" si="4"/>
        <v>49</v>
      </c>
      <c r="M58" s="1">
        <f t="shared" si="5"/>
        <v>49</v>
      </c>
    </row>
    <row r="59" spans="1:13" x14ac:dyDescent="0.4">
      <c r="A59" s="9">
        <v>58</v>
      </c>
      <c r="B59">
        <v>114</v>
      </c>
      <c r="C59" s="14">
        <f t="shared" si="6"/>
        <v>22.8</v>
      </c>
      <c r="D59" s="2">
        <v>7.9166666666666705E-2</v>
      </c>
      <c r="E59" s="1">
        <v>17</v>
      </c>
      <c r="F59" s="11">
        <v>10</v>
      </c>
      <c r="G59" s="11">
        <v>13</v>
      </c>
      <c r="H59" s="1">
        <f t="shared" si="0"/>
        <v>-7</v>
      </c>
      <c r="I59" s="1">
        <f t="shared" si="1"/>
        <v>-4</v>
      </c>
      <c r="J59" s="1">
        <f t="shared" si="2"/>
        <v>7</v>
      </c>
      <c r="K59" s="1">
        <f t="shared" si="3"/>
        <v>4</v>
      </c>
      <c r="L59" s="1">
        <f t="shared" si="4"/>
        <v>49</v>
      </c>
      <c r="M59" s="1">
        <f t="shared" si="5"/>
        <v>16</v>
      </c>
    </row>
    <row r="60" spans="1:13" x14ac:dyDescent="0.4">
      <c r="A60" s="9">
        <v>59</v>
      </c>
      <c r="B60">
        <v>116</v>
      </c>
      <c r="C60" s="14">
        <f t="shared" si="6"/>
        <v>23.2</v>
      </c>
      <c r="D60" s="3">
        <v>8.0555555555555602E-2</v>
      </c>
      <c r="E60" s="1">
        <v>17</v>
      </c>
      <c r="F60" s="11">
        <v>11</v>
      </c>
      <c r="G60" s="11">
        <v>8</v>
      </c>
      <c r="H60" s="1">
        <f t="shared" si="0"/>
        <v>-6</v>
      </c>
      <c r="I60" s="1">
        <f t="shared" si="1"/>
        <v>-9</v>
      </c>
      <c r="J60" s="1">
        <f t="shared" si="2"/>
        <v>6</v>
      </c>
      <c r="K60" s="1">
        <f t="shared" si="3"/>
        <v>9</v>
      </c>
      <c r="L60" s="1">
        <f t="shared" si="4"/>
        <v>36</v>
      </c>
      <c r="M60" s="1">
        <f t="shared" si="5"/>
        <v>81</v>
      </c>
    </row>
    <row r="61" spans="1:13" x14ac:dyDescent="0.4">
      <c r="A61" s="9">
        <v>60</v>
      </c>
      <c r="B61">
        <v>118</v>
      </c>
      <c r="C61" s="14">
        <f t="shared" si="6"/>
        <v>23.6</v>
      </c>
      <c r="D61" s="3">
        <v>8.1944444444444403E-2</v>
      </c>
      <c r="E61" s="1">
        <v>17</v>
      </c>
      <c r="F61" s="11">
        <v>11</v>
      </c>
      <c r="G61" s="11">
        <v>13</v>
      </c>
      <c r="H61" s="1">
        <f t="shared" si="0"/>
        <v>-6</v>
      </c>
      <c r="I61" s="1">
        <f t="shared" si="1"/>
        <v>-4</v>
      </c>
      <c r="J61" s="1">
        <f t="shared" si="2"/>
        <v>6</v>
      </c>
      <c r="K61" s="1">
        <f t="shared" si="3"/>
        <v>4</v>
      </c>
      <c r="L61" s="1">
        <f t="shared" si="4"/>
        <v>36</v>
      </c>
      <c r="M61" s="1">
        <f t="shared" si="5"/>
        <v>16</v>
      </c>
    </row>
    <row r="62" spans="1:13" x14ac:dyDescent="0.4">
      <c r="A62" s="9">
        <v>61</v>
      </c>
      <c r="B62" s="1">
        <v>120</v>
      </c>
      <c r="C62" s="14">
        <f t="shared" si="6"/>
        <v>24</v>
      </c>
      <c r="D62" s="2">
        <v>8.3333333333333301E-2</v>
      </c>
      <c r="E62" s="1">
        <v>17</v>
      </c>
      <c r="F62" s="8">
        <v>13</v>
      </c>
      <c r="G62" s="11">
        <v>12</v>
      </c>
      <c r="H62" s="1">
        <f t="shared" si="0"/>
        <v>-4</v>
      </c>
      <c r="I62" s="1">
        <f t="shared" si="1"/>
        <v>-5</v>
      </c>
      <c r="J62" s="1">
        <f t="shared" si="2"/>
        <v>4</v>
      </c>
      <c r="K62" s="1">
        <f t="shared" si="3"/>
        <v>5</v>
      </c>
      <c r="L62" s="1">
        <f t="shared" si="4"/>
        <v>16</v>
      </c>
      <c r="M62" s="1">
        <f t="shared" si="5"/>
        <v>25</v>
      </c>
    </row>
    <row r="63" spans="1:13" x14ac:dyDescent="0.4">
      <c r="A63" s="9">
        <v>62</v>
      </c>
      <c r="B63">
        <v>122</v>
      </c>
      <c r="C63" s="14">
        <f t="shared" si="6"/>
        <v>24.4</v>
      </c>
      <c r="D63" s="3">
        <v>8.4722222222222199E-2</v>
      </c>
      <c r="E63" s="1">
        <v>16</v>
      </c>
      <c r="F63" s="11">
        <v>11</v>
      </c>
      <c r="G63" s="8">
        <v>8</v>
      </c>
      <c r="H63" s="1">
        <f t="shared" si="0"/>
        <v>-5</v>
      </c>
      <c r="I63" s="1">
        <f t="shared" si="1"/>
        <v>-8</v>
      </c>
      <c r="J63" s="1">
        <f t="shared" si="2"/>
        <v>5</v>
      </c>
      <c r="K63" s="1">
        <f t="shared" si="3"/>
        <v>8</v>
      </c>
      <c r="L63" s="1">
        <f t="shared" si="4"/>
        <v>25</v>
      </c>
      <c r="M63" s="1">
        <f t="shared" si="5"/>
        <v>64</v>
      </c>
    </row>
    <row r="64" spans="1:13" x14ac:dyDescent="0.4">
      <c r="A64" s="9">
        <v>63</v>
      </c>
      <c r="B64">
        <v>124</v>
      </c>
      <c r="C64" s="14">
        <f t="shared" si="6"/>
        <v>24.8</v>
      </c>
      <c r="D64" s="3">
        <v>8.6111111111111097E-2</v>
      </c>
      <c r="E64" s="1">
        <v>16</v>
      </c>
      <c r="F64" s="11">
        <v>11</v>
      </c>
      <c r="G64" s="11">
        <v>10</v>
      </c>
      <c r="H64" s="1">
        <f t="shared" si="0"/>
        <v>-5</v>
      </c>
      <c r="I64" s="1">
        <f t="shared" si="1"/>
        <v>-6</v>
      </c>
      <c r="J64" s="1">
        <f t="shared" si="2"/>
        <v>5</v>
      </c>
      <c r="K64" s="1">
        <f t="shared" si="3"/>
        <v>6</v>
      </c>
      <c r="L64" s="1">
        <f t="shared" si="4"/>
        <v>25</v>
      </c>
      <c r="M64" s="1">
        <f t="shared" si="5"/>
        <v>36</v>
      </c>
    </row>
    <row r="65" spans="1:13" x14ac:dyDescent="0.4">
      <c r="A65" s="9">
        <v>64</v>
      </c>
      <c r="B65">
        <v>126</v>
      </c>
      <c r="C65" s="14">
        <f t="shared" si="6"/>
        <v>25.2</v>
      </c>
      <c r="D65" s="2">
        <v>8.7499999999999994E-2</v>
      </c>
      <c r="E65" s="1">
        <v>16</v>
      </c>
      <c r="F65" s="11">
        <v>10</v>
      </c>
      <c r="G65" s="11">
        <v>12</v>
      </c>
      <c r="H65" s="1">
        <f t="shared" si="0"/>
        <v>-6</v>
      </c>
      <c r="I65" s="1">
        <f t="shared" si="1"/>
        <v>-4</v>
      </c>
      <c r="J65" s="1">
        <f t="shared" si="2"/>
        <v>6</v>
      </c>
      <c r="K65" s="1">
        <f t="shared" si="3"/>
        <v>4</v>
      </c>
      <c r="L65" s="1">
        <f t="shared" si="4"/>
        <v>36</v>
      </c>
      <c r="M65" s="1">
        <f t="shared" si="5"/>
        <v>16</v>
      </c>
    </row>
    <row r="66" spans="1:13" x14ac:dyDescent="0.4">
      <c r="A66" s="9">
        <v>65</v>
      </c>
      <c r="B66" s="1">
        <v>128</v>
      </c>
      <c r="C66" s="14">
        <f t="shared" si="6"/>
        <v>25.6</v>
      </c>
      <c r="D66" s="3">
        <v>8.8888888888888906E-2</v>
      </c>
      <c r="E66" s="1">
        <v>18</v>
      </c>
      <c r="F66" s="11">
        <v>10</v>
      </c>
      <c r="G66" s="11">
        <v>11</v>
      </c>
      <c r="H66" s="1">
        <f t="shared" si="0"/>
        <v>-8</v>
      </c>
      <c r="I66" s="1">
        <f t="shared" si="1"/>
        <v>-7</v>
      </c>
      <c r="J66" s="1">
        <f t="shared" si="2"/>
        <v>8</v>
      </c>
      <c r="K66" s="1">
        <f t="shared" si="3"/>
        <v>7</v>
      </c>
      <c r="L66" s="1">
        <f t="shared" si="4"/>
        <v>64</v>
      </c>
      <c r="M66" s="1">
        <f t="shared" si="5"/>
        <v>49</v>
      </c>
    </row>
    <row r="67" spans="1:13" x14ac:dyDescent="0.4">
      <c r="A67" s="9">
        <v>66</v>
      </c>
      <c r="B67">
        <v>130</v>
      </c>
      <c r="C67" s="14">
        <f t="shared" si="6"/>
        <v>26</v>
      </c>
      <c r="D67" s="3">
        <v>9.0277777777777804E-2</v>
      </c>
      <c r="E67" s="1">
        <v>18</v>
      </c>
      <c r="F67" s="8">
        <v>13</v>
      </c>
      <c r="G67" s="11">
        <v>16</v>
      </c>
      <c r="H67" s="1">
        <f t="shared" ref="H67:H130" si="7">+F67-E67</f>
        <v>-5</v>
      </c>
      <c r="I67" s="1">
        <f t="shared" ref="I67:I130" si="8">+G67-E67</f>
        <v>-2</v>
      </c>
      <c r="J67" s="1">
        <f t="shared" ref="J67:J130" si="9" xml:space="preserve"> ABS(H67)</f>
        <v>5</v>
      </c>
      <c r="K67" s="1">
        <f t="shared" ref="K67:K130" si="10" xml:space="preserve"> ABS(I67)</f>
        <v>2</v>
      </c>
      <c r="L67" s="1">
        <f t="shared" ref="L67:L130" si="11" xml:space="preserve"> H67^2</f>
        <v>25</v>
      </c>
      <c r="M67" s="1">
        <f t="shared" ref="M67:M130" si="12" xml:space="preserve"> I67^2</f>
        <v>4</v>
      </c>
    </row>
    <row r="68" spans="1:13" x14ac:dyDescent="0.4">
      <c r="A68" s="9">
        <v>67</v>
      </c>
      <c r="B68">
        <v>132</v>
      </c>
      <c r="C68" s="14">
        <f t="shared" ref="C68:C131" si="13">+B68/5</f>
        <v>26.4</v>
      </c>
      <c r="D68" s="2">
        <v>9.1666666666666702E-2</v>
      </c>
      <c r="E68" s="1">
        <v>18</v>
      </c>
      <c r="F68" s="8">
        <v>13</v>
      </c>
      <c r="G68" s="11">
        <v>15</v>
      </c>
      <c r="H68" s="1">
        <f t="shared" si="7"/>
        <v>-5</v>
      </c>
      <c r="I68" s="1">
        <f t="shared" si="8"/>
        <v>-3</v>
      </c>
      <c r="J68" s="1">
        <f t="shared" si="9"/>
        <v>5</v>
      </c>
      <c r="K68" s="1">
        <f t="shared" si="10"/>
        <v>3</v>
      </c>
      <c r="L68" s="1">
        <f t="shared" si="11"/>
        <v>25</v>
      </c>
      <c r="M68" s="1">
        <f t="shared" si="12"/>
        <v>9</v>
      </c>
    </row>
    <row r="69" spans="1:13" x14ac:dyDescent="0.4">
      <c r="A69" s="9">
        <v>68</v>
      </c>
      <c r="B69">
        <v>134</v>
      </c>
      <c r="C69" s="14">
        <f t="shared" si="13"/>
        <v>26.8</v>
      </c>
      <c r="D69" s="3">
        <v>9.30555555555556E-2</v>
      </c>
      <c r="E69" s="1">
        <v>18</v>
      </c>
      <c r="F69" s="8">
        <v>13</v>
      </c>
      <c r="G69" s="11">
        <v>15</v>
      </c>
      <c r="H69" s="1">
        <f t="shared" si="7"/>
        <v>-5</v>
      </c>
      <c r="I69" s="1">
        <f t="shared" si="8"/>
        <v>-3</v>
      </c>
      <c r="J69" s="1">
        <f t="shared" si="9"/>
        <v>5</v>
      </c>
      <c r="K69" s="1">
        <f t="shared" si="10"/>
        <v>3</v>
      </c>
      <c r="L69" s="1">
        <f t="shared" si="11"/>
        <v>25</v>
      </c>
      <c r="M69" s="1">
        <f t="shared" si="12"/>
        <v>9</v>
      </c>
    </row>
    <row r="70" spans="1:13" x14ac:dyDescent="0.4">
      <c r="A70" s="9">
        <v>69</v>
      </c>
      <c r="B70" s="1">
        <v>136</v>
      </c>
      <c r="C70" s="14">
        <f t="shared" si="13"/>
        <v>27.2</v>
      </c>
      <c r="D70" s="3">
        <v>9.44444444444444E-2</v>
      </c>
      <c r="E70" s="1">
        <v>17</v>
      </c>
      <c r="F70" s="11">
        <v>12</v>
      </c>
      <c r="G70" s="11">
        <v>11</v>
      </c>
      <c r="H70" s="1">
        <f t="shared" si="7"/>
        <v>-5</v>
      </c>
      <c r="I70" s="1">
        <f t="shared" si="8"/>
        <v>-6</v>
      </c>
      <c r="J70" s="1">
        <f t="shared" si="9"/>
        <v>5</v>
      </c>
      <c r="K70" s="1">
        <f t="shared" si="10"/>
        <v>6</v>
      </c>
      <c r="L70" s="1">
        <f t="shared" si="11"/>
        <v>25</v>
      </c>
      <c r="M70" s="1">
        <f t="shared" si="12"/>
        <v>36</v>
      </c>
    </row>
    <row r="71" spans="1:13" x14ac:dyDescent="0.4">
      <c r="A71" s="9">
        <v>70</v>
      </c>
      <c r="B71">
        <v>138</v>
      </c>
      <c r="C71" s="14">
        <f t="shared" si="13"/>
        <v>27.6</v>
      </c>
      <c r="D71" s="2">
        <v>9.5833333333333298E-2</v>
      </c>
      <c r="E71" s="1">
        <v>16</v>
      </c>
      <c r="F71" s="11">
        <v>11</v>
      </c>
      <c r="G71" s="11">
        <v>11</v>
      </c>
      <c r="H71" s="1">
        <f t="shared" si="7"/>
        <v>-5</v>
      </c>
      <c r="I71" s="1">
        <f t="shared" si="8"/>
        <v>-5</v>
      </c>
      <c r="J71" s="1">
        <f t="shared" si="9"/>
        <v>5</v>
      </c>
      <c r="K71" s="1">
        <f t="shared" si="10"/>
        <v>5</v>
      </c>
      <c r="L71" s="1">
        <f t="shared" si="11"/>
        <v>25</v>
      </c>
      <c r="M71" s="1">
        <f t="shared" si="12"/>
        <v>25</v>
      </c>
    </row>
    <row r="72" spans="1:13" x14ac:dyDescent="0.4">
      <c r="A72" s="9">
        <v>71</v>
      </c>
      <c r="B72">
        <v>140</v>
      </c>
      <c r="C72" s="14">
        <f t="shared" si="13"/>
        <v>28</v>
      </c>
      <c r="D72" s="3">
        <v>9.7222222222222196E-2</v>
      </c>
      <c r="E72" s="1">
        <v>16</v>
      </c>
      <c r="F72" s="11">
        <v>12</v>
      </c>
      <c r="G72" s="8">
        <v>14</v>
      </c>
      <c r="H72" s="1">
        <f t="shared" si="7"/>
        <v>-4</v>
      </c>
      <c r="I72" s="1">
        <f t="shared" si="8"/>
        <v>-2</v>
      </c>
      <c r="J72" s="1">
        <f t="shared" si="9"/>
        <v>4</v>
      </c>
      <c r="K72" s="1">
        <f t="shared" si="10"/>
        <v>2</v>
      </c>
      <c r="L72" s="1">
        <f t="shared" si="11"/>
        <v>16</v>
      </c>
      <c r="M72" s="1">
        <f t="shared" si="12"/>
        <v>4</v>
      </c>
    </row>
    <row r="73" spans="1:13" x14ac:dyDescent="0.4">
      <c r="A73" s="9">
        <v>72</v>
      </c>
      <c r="B73">
        <v>142</v>
      </c>
      <c r="C73" s="14">
        <f t="shared" si="13"/>
        <v>28.4</v>
      </c>
      <c r="D73" s="3">
        <v>9.8611111111111094E-2</v>
      </c>
      <c r="E73" s="1">
        <v>16</v>
      </c>
      <c r="F73" s="11">
        <v>12</v>
      </c>
      <c r="G73" s="11">
        <v>16</v>
      </c>
      <c r="H73" s="1">
        <f t="shared" si="7"/>
        <v>-4</v>
      </c>
      <c r="I73" s="1">
        <f t="shared" si="8"/>
        <v>0</v>
      </c>
      <c r="J73" s="1">
        <f t="shared" si="9"/>
        <v>4</v>
      </c>
      <c r="K73" s="1">
        <f t="shared" si="10"/>
        <v>0</v>
      </c>
      <c r="L73" s="1">
        <f t="shared" si="11"/>
        <v>16</v>
      </c>
      <c r="M73" s="1">
        <f t="shared" si="12"/>
        <v>0</v>
      </c>
    </row>
    <row r="74" spans="1:13" x14ac:dyDescent="0.4">
      <c r="A74" s="9">
        <v>73</v>
      </c>
      <c r="B74" s="1">
        <v>144</v>
      </c>
      <c r="C74" s="14">
        <f t="shared" si="13"/>
        <v>28.8</v>
      </c>
      <c r="D74" s="2">
        <v>0.1</v>
      </c>
      <c r="E74" s="1">
        <v>17</v>
      </c>
      <c r="F74" s="11">
        <v>14</v>
      </c>
      <c r="G74" s="11">
        <v>14</v>
      </c>
      <c r="H74" s="1">
        <f t="shared" si="7"/>
        <v>-3</v>
      </c>
      <c r="I74" s="1">
        <f t="shared" si="8"/>
        <v>-3</v>
      </c>
      <c r="J74" s="1">
        <f t="shared" si="9"/>
        <v>3</v>
      </c>
      <c r="K74" s="1">
        <f t="shared" si="10"/>
        <v>3</v>
      </c>
      <c r="L74" s="1">
        <f t="shared" si="11"/>
        <v>9</v>
      </c>
      <c r="M74" s="1">
        <f t="shared" si="12"/>
        <v>9</v>
      </c>
    </row>
    <row r="75" spans="1:13" x14ac:dyDescent="0.4">
      <c r="A75" s="9">
        <v>74</v>
      </c>
      <c r="B75">
        <v>146</v>
      </c>
      <c r="C75" s="14">
        <f t="shared" si="13"/>
        <v>29.2</v>
      </c>
      <c r="D75" s="3">
        <v>0.101388888888889</v>
      </c>
      <c r="E75" s="1">
        <v>17</v>
      </c>
      <c r="F75" s="11">
        <v>14</v>
      </c>
      <c r="G75" s="11">
        <v>11</v>
      </c>
      <c r="H75" s="1">
        <f t="shared" si="7"/>
        <v>-3</v>
      </c>
      <c r="I75" s="1">
        <f t="shared" si="8"/>
        <v>-6</v>
      </c>
      <c r="J75" s="1">
        <f t="shared" si="9"/>
        <v>3</v>
      </c>
      <c r="K75" s="1">
        <f t="shared" si="10"/>
        <v>6</v>
      </c>
      <c r="L75" s="1">
        <f t="shared" si="11"/>
        <v>9</v>
      </c>
      <c r="M75" s="1">
        <f t="shared" si="12"/>
        <v>36</v>
      </c>
    </row>
    <row r="76" spans="1:13" x14ac:dyDescent="0.4">
      <c r="A76" s="9">
        <v>75</v>
      </c>
      <c r="B76">
        <v>148</v>
      </c>
      <c r="C76" s="14">
        <f t="shared" si="13"/>
        <v>29.6</v>
      </c>
      <c r="D76" s="3">
        <v>0.102777777777778</v>
      </c>
      <c r="E76" s="1">
        <v>17</v>
      </c>
      <c r="F76" s="11">
        <v>14</v>
      </c>
      <c r="G76" s="11">
        <v>14</v>
      </c>
      <c r="H76" s="1">
        <f t="shared" si="7"/>
        <v>-3</v>
      </c>
      <c r="I76" s="1">
        <f t="shared" si="8"/>
        <v>-3</v>
      </c>
      <c r="J76" s="1">
        <f t="shared" si="9"/>
        <v>3</v>
      </c>
      <c r="K76" s="1">
        <f t="shared" si="10"/>
        <v>3</v>
      </c>
      <c r="L76" s="1">
        <f t="shared" si="11"/>
        <v>9</v>
      </c>
      <c r="M76" s="1">
        <f t="shared" si="12"/>
        <v>9</v>
      </c>
    </row>
    <row r="77" spans="1:13" x14ac:dyDescent="0.4">
      <c r="A77" s="9">
        <v>76</v>
      </c>
      <c r="B77">
        <v>150</v>
      </c>
      <c r="C77" s="14">
        <f t="shared" si="13"/>
        <v>30</v>
      </c>
      <c r="D77" s="2">
        <v>0.104166666666667</v>
      </c>
      <c r="E77" s="1">
        <v>16</v>
      </c>
      <c r="F77" s="11">
        <v>11</v>
      </c>
      <c r="G77" s="11">
        <v>13</v>
      </c>
      <c r="H77" s="1">
        <f t="shared" si="7"/>
        <v>-5</v>
      </c>
      <c r="I77" s="1">
        <f t="shared" si="8"/>
        <v>-3</v>
      </c>
      <c r="J77" s="1">
        <f t="shared" si="9"/>
        <v>5</v>
      </c>
      <c r="K77" s="1">
        <f t="shared" si="10"/>
        <v>3</v>
      </c>
      <c r="L77" s="1">
        <f t="shared" si="11"/>
        <v>25</v>
      </c>
      <c r="M77" s="1">
        <f t="shared" si="12"/>
        <v>9</v>
      </c>
    </row>
    <row r="78" spans="1:13" x14ac:dyDescent="0.4">
      <c r="A78" s="9">
        <v>77</v>
      </c>
      <c r="B78" s="1">
        <v>152</v>
      </c>
      <c r="C78" s="14">
        <f t="shared" si="13"/>
        <v>30.4</v>
      </c>
      <c r="D78" s="3">
        <v>0.105555555555556</v>
      </c>
      <c r="E78" s="1">
        <v>16</v>
      </c>
      <c r="F78" s="11">
        <v>11</v>
      </c>
      <c r="G78" s="11">
        <v>10</v>
      </c>
      <c r="H78" s="1">
        <f t="shared" si="7"/>
        <v>-5</v>
      </c>
      <c r="I78" s="1">
        <f t="shared" si="8"/>
        <v>-6</v>
      </c>
      <c r="J78" s="1">
        <f t="shared" si="9"/>
        <v>5</v>
      </c>
      <c r="K78" s="1">
        <f t="shared" si="10"/>
        <v>6</v>
      </c>
      <c r="L78" s="1">
        <f t="shared" si="11"/>
        <v>25</v>
      </c>
      <c r="M78" s="1">
        <f t="shared" si="12"/>
        <v>36</v>
      </c>
    </row>
    <row r="79" spans="1:13" x14ac:dyDescent="0.4">
      <c r="A79" s="9">
        <v>78</v>
      </c>
      <c r="B79">
        <v>154</v>
      </c>
      <c r="C79" s="14">
        <f t="shared" si="13"/>
        <v>30.8</v>
      </c>
      <c r="D79" s="3">
        <v>0.10694444444444499</v>
      </c>
      <c r="E79" s="1">
        <v>16</v>
      </c>
      <c r="F79" s="11">
        <v>9</v>
      </c>
      <c r="G79" s="11">
        <v>12</v>
      </c>
      <c r="H79" s="1">
        <f t="shared" si="7"/>
        <v>-7</v>
      </c>
      <c r="I79" s="1">
        <f t="shared" si="8"/>
        <v>-4</v>
      </c>
      <c r="J79" s="1">
        <f t="shared" si="9"/>
        <v>7</v>
      </c>
      <c r="K79" s="1">
        <f t="shared" si="10"/>
        <v>4</v>
      </c>
      <c r="L79" s="1">
        <f t="shared" si="11"/>
        <v>49</v>
      </c>
      <c r="M79" s="1">
        <f t="shared" si="12"/>
        <v>16</v>
      </c>
    </row>
    <row r="80" spans="1:13" x14ac:dyDescent="0.4">
      <c r="A80" s="9">
        <v>79</v>
      </c>
      <c r="B80">
        <v>156</v>
      </c>
      <c r="C80" s="14">
        <f t="shared" si="13"/>
        <v>31.2</v>
      </c>
      <c r="D80" s="2">
        <v>0.108333333333334</v>
      </c>
      <c r="E80" s="1">
        <v>16</v>
      </c>
      <c r="F80" s="11">
        <v>13</v>
      </c>
      <c r="G80" s="11">
        <v>14</v>
      </c>
      <c r="H80" s="1">
        <f t="shared" si="7"/>
        <v>-3</v>
      </c>
      <c r="I80" s="1">
        <f t="shared" si="8"/>
        <v>-2</v>
      </c>
      <c r="J80" s="1">
        <f t="shared" si="9"/>
        <v>3</v>
      </c>
      <c r="K80" s="1">
        <f t="shared" si="10"/>
        <v>2</v>
      </c>
      <c r="L80" s="1">
        <f t="shared" si="11"/>
        <v>9</v>
      </c>
      <c r="M80" s="1">
        <f t="shared" si="12"/>
        <v>4</v>
      </c>
    </row>
    <row r="81" spans="1:13" x14ac:dyDescent="0.4">
      <c r="A81" s="9">
        <v>80</v>
      </c>
      <c r="B81">
        <v>158</v>
      </c>
      <c r="C81" s="14">
        <f t="shared" si="13"/>
        <v>31.6</v>
      </c>
      <c r="D81" s="3">
        <v>0.109722222222222</v>
      </c>
      <c r="E81" s="1">
        <v>16</v>
      </c>
      <c r="F81" s="11">
        <v>11</v>
      </c>
      <c r="G81" s="8">
        <v>10</v>
      </c>
      <c r="H81" s="1">
        <f t="shared" si="7"/>
        <v>-5</v>
      </c>
      <c r="I81" s="1">
        <f t="shared" si="8"/>
        <v>-6</v>
      </c>
      <c r="J81" s="1">
        <f t="shared" si="9"/>
        <v>5</v>
      </c>
      <c r="K81" s="1">
        <f t="shared" si="10"/>
        <v>6</v>
      </c>
      <c r="L81" s="1">
        <f t="shared" si="11"/>
        <v>25</v>
      </c>
      <c r="M81" s="1">
        <f t="shared" si="12"/>
        <v>36</v>
      </c>
    </row>
    <row r="82" spans="1:13" x14ac:dyDescent="0.4">
      <c r="A82" s="9">
        <v>81</v>
      </c>
      <c r="B82" s="1">
        <v>160</v>
      </c>
      <c r="C82" s="14">
        <f t="shared" si="13"/>
        <v>32</v>
      </c>
      <c r="D82" s="3">
        <v>0.11111111111111099</v>
      </c>
      <c r="E82" s="1">
        <v>17</v>
      </c>
      <c r="F82" s="11">
        <v>12</v>
      </c>
      <c r="G82" s="11">
        <v>12</v>
      </c>
      <c r="H82" s="1">
        <f t="shared" si="7"/>
        <v>-5</v>
      </c>
      <c r="I82" s="1">
        <f t="shared" si="8"/>
        <v>-5</v>
      </c>
      <c r="J82" s="1">
        <f t="shared" si="9"/>
        <v>5</v>
      </c>
      <c r="K82" s="1">
        <f t="shared" si="10"/>
        <v>5</v>
      </c>
      <c r="L82" s="1">
        <f t="shared" si="11"/>
        <v>25</v>
      </c>
      <c r="M82" s="1">
        <f t="shared" si="12"/>
        <v>25</v>
      </c>
    </row>
    <row r="83" spans="1:13" x14ac:dyDescent="0.4">
      <c r="A83" s="9">
        <v>82</v>
      </c>
      <c r="B83">
        <v>162</v>
      </c>
      <c r="C83" s="14">
        <f t="shared" si="13"/>
        <v>32.4</v>
      </c>
      <c r="D83" s="2">
        <v>0.1125</v>
      </c>
      <c r="E83" s="1">
        <v>17</v>
      </c>
      <c r="F83" s="11">
        <v>12</v>
      </c>
      <c r="G83" s="11">
        <v>12</v>
      </c>
      <c r="H83" s="1">
        <f t="shared" si="7"/>
        <v>-5</v>
      </c>
      <c r="I83" s="1">
        <f t="shared" si="8"/>
        <v>-5</v>
      </c>
      <c r="J83" s="1">
        <f t="shared" si="9"/>
        <v>5</v>
      </c>
      <c r="K83" s="1">
        <f t="shared" si="10"/>
        <v>5</v>
      </c>
      <c r="L83" s="1">
        <f t="shared" si="11"/>
        <v>25</v>
      </c>
      <c r="M83" s="1">
        <f t="shared" si="12"/>
        <v>25</v>
      </c>
    </row>
    <row r="84" spans="1:13" x14ac:dyDescent="0.4">
      <c r="A84" s="9">
        <v>83</v>
      </c>
      <c r="B84">
        <v>164</v>
      </c>
      <c r="C84" s="14">
        <f t="shared" si="13"/>
        <v>32.799999999999997</v>
      </c>
      <c r="D84" s="3">
        <v>0.113888888888889</v>
      </c>
      <c r="E84" s="1">
        <v>17</v>
      </c>
      <c r="F84" s="11">
        <v>12</v>
      </c>
      <c r="G84" s="11">
        <v>13</v>
      </c>
      <c r="H84" s="1">
        <f t="shared" si="7"/>
        <v>-5</v>
      </c>
      <c r="I84" s="1">
        <f t="shared" si="8"/>
        <v>-4</v>
      </c>
      <c r="J84" s="1">
        <f t="shared" si="9"/>
        <v>5</v>
      </c>
      <c r="K84" s="1">
        <f t="shared" si="10"/>
        <v>4</v>
      </c>
      <c r="L84" s="1">
        <f t="shared" si="11"/>
        <v>25</v>
      </c>
      <c r="M84" s="1">
        <f t="shared" si="12"/>
        <v>16</v>
      </c>
    </row>
    <row r="85" spans="1:13" x14ac:dyDescent="0.4">
      <c r="A85" s="9">
        <v>84</v>
      </c>
      <c r="B85">
        <v>166</v>
      </c>
      <c r="C85" s="14">
        <f t="shared" si="13"/>
        <v>33.200000000000003</v>
      </c>
      <c r="D85" s="3">
        <v>0.11527777777777801</v>
      </c>
      <c r="E85" s="1">
        <v>16</v>
      </c>
      <c r="F85" s="8">
        <v>11</v>
      </c>
      <c r="G85" s="11">
        <v>13</v>
      </c>
      <c r="H85" s="1">
        <f t="shared" si="7"/>
        <v>-5</v>
      </c>
      <c r="I85" s="1">
        <f t="shared" si="8"/>
        <v>-3</v>
      </c>
      <c r="J85" s="1">
        <f t="shared" si="9"/>
        <v>5</v>
      </c>
      <c r="K85" s="1">
        <f t="shared" si="10"/>
        <v>3</v>
      </c>
      <c r="L85" s="1">
        <f t="shared" si="11"/>
        <v>25</v>
      </c>
      <c r="M85" s="1">
        <f t="shared" si="12"/>
        <v>9</v>
      </c>
    </row>
    <row r="86" spans="1:13" x14ac:dyDescent="0.4">
      <c r="A86" s="9">
        <v>85</v>
      </c>
      <c r="B86" s="1">
        <v>168</v>
      </c>
      <c r="C86" s="14">
        <f t="shared" si="13"/>
        <v>33.6</v>
      </c>
      <c r="D86" s="2">
        <v>0.116666666666667</v>
      </c>
      <c r="E86" s="1">
        <v>16</v>
      </c>
      <c r="F86" s="11">
        <v>10</v>
      </c>
      <c r="G86" s="8">
        <v>12</v>
      </c>
      <c r="H86" s="1">
        <f t="shared" si="7"/>
        <v>-6</v>
      </c>
      <c r="I86" s="1">
        <f t="shared" si="8"/>
        <v>-4</v>
      </c>
      <c r="J86" s="1">
        <f t="shared" si="9"/>
        <v>6</v>
      </c>
      <c r="K86" s="1">
        <f t="shared" si="10"/>
        <v>4</v>
      </c>
      <c r="L86" s="1">
        <f t="shared" si="11"/>
        <v>36</v>
      </c>
      <c r="M86" s="1">
        <f t="shared" si="12"/>
        <v>16</v>
      </c>
    </row>
    <row r="87" spans="1:13" x14ac:dyDescent="0.4">
      <c r="A87" s="9">
        <v>86</v>
      </c>
      <c r="B87">
        <v>170</v>
      </c>
      <c r="C87" s="14">
        <f t="shared" si="13"/>
        <v>34</v>
      </c>
      <c r="D87" s="3">
        <v>0.118055555555556</v>
      </c>
      <c r="E87">
        <v>17</v>
      </c>
      <c r="F87" s="11">
        <v>11</v>
      </c>
      <c r="G87" s="11">
        <v>14</v>
      </c>
      <c r="H87" s="1">
        <f t="shared" si="7"/>
        <v>-6</v>
      </c>
      <c r="I87" s="1">
        <f t="shared" si="8"/>
        <v>-3</v>
      </c>
      <c r="J87" s="1">
        <f t="shared" si="9"/>
        <v>6</v>
      </c>
      <c r="K87" s="1">
        <f t="shared" si="10"/>
        <v>3</v>
      </c>
      <c r="L87" s="1">
        <f t="shared" si="11"/>
        <v>36</v>
      </c>
      <c r="M87" s="1">
        <f t="shared" si="12"/>
        <v>9</v>
      </c>
    </row>
    <row r="88" spans="1:13" x14ac:dyDescent="0.4">
      <c r="A88" s="9">
        <v>87</v>
      </c>
      <c r="B88">
        <v>172</v>
      </c>
      <c r="C88" s="14">
        <f t="shared" si="13"/>
        <v>34.4</v>
      </c>
      <c r="D88" s="3">
        <v>0.11944444444444501</v>
      </c>
      <c r="E88">
        <v>17</v>
      </c>
      <c r="F88" s="11">
        <v>11</v>
      </c>
      <c r="G88" s="11">
        <v>11</v>
      </c>
      <c r="H88" s="1">
        <f t="shared" si="7"/>
        <v>-6</v>
      </c>
      <c r="I88" s="1">
        <f t="shared" si="8"/>
        <v>-6</v>
      </c>
      <c r="J88" s="1">
        <f t="shared" si="9"/>
        <v>6</v>
      </c>
      <c r="K88" s="1">
        <f t="shared" si="10"/>
        <v>6</v>
      </c>
      <c r="L88" s="1">
        <f t="shared" si="11"/>
        <v>36</v>
      </c>
      <c r="M88" s="1">
        <f t="shared" si="12"/>
        <v>36</v>
      </c>
    </row>
    <row r="89" spans="1:13" x14ac:dyDescent="0.4">
      <c r="A89" s="9">
        <v>88</v>
      </c>
      <c r="B89">
        <v>174</v>
      </c>
      <c r="C89" s="14">
        <f t="shared" si="13"/>
        <v>34.799999999999997</v>
      </c>
      <c r="D89" s="2">
        <v>0.120833333333334</v>
      </c>
      <c r="E89">
        <v>17</v>
      </c>
      <c r="F89" s="11">
        <v>10</v>
      </c>
      <c r="G89" s="11">
        <v>11</v>
      </c>
      <c r="H89" s="1">
        <f t="shared" si="7"/>
        <v>-7</v>
      </c>
      <c r="I89" s="1">
        <f t="shared" si="8"/>
        <v>-6</v>
      </c>
      <c r="J89" s="1">
        <f t="shared" si="9"/>
        <v>7</v>
      </c>
      <c r="K89" s="1">
        <f t="shared" si="10"/>
        <v>6</v>
      </c>
      <c r="L89" s="1">
        <f t="shared" si="11"/>
        <v>49</v>
      </c>
      <c r="M89" s="1">
        <f t="shared" si="12"/>
        <v>36</v>
      </c>
    </row>
    <row r="90" spans="1:13" x14ac:dyDescent="0.4">
      <c r="A90" s="9">
        <v>89</v>
      </c>
      <c r="B90" s="1">
        <v>176</v>
      </c>
      <c r="C90" s="14">
        <f t="shared" si="13"/>
        <v>35.200000000000003</v>
      </c>
      <c r="D90" s="3">
        <v>0.122222222222222</v>
      </c>
      <c r="E90">
        <v>17</v>
      </c>
      <c r="F90" s="8">
        <v>12</v>
      </c>
      <c r="G90" s="11">
        <v>13</v>
      </c>
      <c r="H90" s="1">
        <f t="shared" si="7"/>
        <v>-5</v>
      </c>
      <c r="I90" s="1">
        <f t="shared" si="8"/>
        <v>-4</v>
      </c>
      <c r="J90" s="1">
        <f t="shared" si="9"/>
        <v>5</v>
      </c>
      <c r="K90" s="1">
        <f t="shared" si="10"/>
        <v>4</v>
      </c>
      <c r="L90" s="1">
        <f t="shared" si="11"/>
        <v>25</v>
      </c>
      <c r="M90" s="1">
        <f t="shared" si="12"/>
        <v>16</v>
      </c>
    </row>
    <row r="91" spans="1:13" x14ac:dyDescent="0.4">
      <c r="A91" s="9">
        <v>90</v>
      </c>
      <c r="B91">
        <v>178</v>
      </c>
      <c r="C91" s="14">
        <f t="shared" si="13"/>
        <v>35.6</v>
      </c>
      <c r="D91" s="3">
        <v>0.12361111111111101</v>
      </c>
      <c r="E91">
        <v>17</v>
      </c>
      <c r="F91" s="11">
        <v>12</v>
      </c>
      <c r="G91" s="8">
        <v>15</v>
      </c>
      <c r="H91" s="1">
        <f t="shared" si="7"/>
        <v>-5</v>
      </c>
      <c r="I91" s="1">
        <f t="shared" si="8"/>
        <v>-2</v>
      </c>
      <c r="J91" s="1">
        <f t="shared" si="9"/>
        <v>5</v>
      </c>
      <c r="K91" s="1">
        <f t="shared" si="10"/>
        <v>2</v>
      </c>
      <c r="L91" s="1">
        <f t="shared" si="11"/>
        <v>25</v>
      </c>
      <c r="M91" s="1">
        <f t="shared" si="12"/>
        <v>4</v>
      </c>
    </row>
    <row r="92" spans="1:13" x14ac:dyDescent="0.4">
      <c r="A92" s="9">
        <v>91</v>
      </c>
      <c r="B92">
        <v>180</v>
      </c>
      <c r="C92" s="14">
        <f t="shared" si="13"/>
        <v>36</v>
      </c>
      <c r="D92" s="2">
        <v>0.125</v>
      </c>
      <c r="E92">
        <v>17</v>
      </c>
      <c r="F92" s="11">
        <v>9</v>
      </c>
      <c r="G92" s="11">
        <v>14</v>
      </c>
      <c r="H92" s="1">
        <f t="shared" si="7"/>
        <v>-8</v>
      </c>
      <c r="I92" s="1">
        <f t="shared" si="8"/>
        <v>-3</v>
      </c>
      <c r="J92" s="1">
        <f t="shared" si="9"/>
        <v>8</v>
      </c>
      <c r="K92" s="1">
        <f t="shared" si="10"/>
        <v>3</v>
      </c>
      <c r="L92" s="1">
        <f t="shared" si="11"/>
        <v>64</v>
      </c>
      <c r="M92" s="1">
        <f t="shared" si="12"/>
        <v>9</v>
      </c>
    </row>
    <row r="93" spans="1:13" x14ac:dyDescent="0.4">
      <c r="A93" s="9">
        <v>92</v>
      </c>
      <c r="B93">
        <v>182</v>
      </c>
      <c r="C93" s="14">
        <f t="shared" si="13"/>
        <v>36.4</v>
      </c>
      <c r="D93" s="3">
        <v>0.12638888888888899</v>
      </c>
      <c r="E93">
        <v>18</v>
      </c>
      <c r="F93" s="11">
        <v>10</v>
      </c>
      <c r="G93" s="11">
        <v>16</v>
      </c>
      <c r="H93" s="1">
        <f t="shared" si="7"/>
        <v>-8</v>
      </c>
      <c r="I93" s="1">
        <f t="shared" si="8"/>
        <v>-2</v>
      </c>
      <c r="J93" s="1">
        <f t="shared" si="9"/>
        <v>8</v>
      </c>
      <c r="K93" s="1">
        <f t="shared" si="10"/>
        <v>2</v>
      </c>
      <c r="L93" s="1">
        <f t="shared" si="11"/>
        <v>64</v>
      </c>
      <c r="M93" s="1">
        <f t="shared" si="12"/>
        <v>4</v>
      </c>
    </row>
    <row r="94" spans="1:13" x14ac:dyDescent="0.4">
      <c r="A94" s="9">
        <v>93</v>
      </c>
      <c r="B94" s="1">
        <v>184</v>
      </c>
      <c r="C94" s="14">
        <f t="shared" si="13"/>
        <v>36.799999999999997</v>
      </c>
      <c r="D94" s="3">
        <v>0.12777777777777799</v>
      </c>
      <c r="E94">
        <v>18</v>
      </c>
      <c r="F94" s="11">
        <v>10</v>
      </c>
      <c r="G94" s="11">
        <v>11</v>
      </c>
      <c r="H94" s="1">
        <f t="shared" si="7"/>
        <v>-8</v>
      </c>
      <c r="I94" s="1">
        <f t="shared" si="8"/>
        <v>-7</v>
      </c>
      <c r="J94" s="1">
        <f t="shared" si="9"/>
        <v>8</v>
      </c>
      <c r="K94" s="1">
        <f t="shared" si="10"/>
        <v>7</v>
      </c>
      <c r="L94" s="1">
        <f t="shared" si="11"/>
        <v>64</v>
      </c>
      <c r="M94" s="1">
        <f t="shared" si="12"/>
        <v>49</v>
      </c>
    </row>
    <row r="95" spans="1:13" x14ac:dyDescent="0.4">
      <c r="A95" s="9">
        <v>94</v>
      </c>
      <c r="B95">
        <v>186</v>
      </c>
      <c r="C95" s="14">
        <f t="shared" si="13"/>
        <v>37.200000000000003</v>
      </c>
      <c r="D95" s="2">
        <v>0.12916666666666701</v>
      </c>
      <c r="E95">
        <v>16</v>
      </c>
      <c r="F95" s="8">
        <v>11</v>
      </c>
      <c r="G95" s="11">
        <v>14</v>
      </c>
      <c r="H95" s="1">
        <f t="shared" si="7"/>
        <v>-5</v>
      </c>
      <c r="I95" s="1">
        <f t="shared" si="8"/>
        <v>-2</v>
      </c>
      <c r="J95" s="1">
        <f t="shared" si="9"/>
        <v>5</v>
      </c>
      <c r="K95" s="1">
        <f t="shared" si="10"/>
        <v>2</v>
      </c>
      <c r="L95" s="1">
        <f t="shared" si="11"/>
        <v>25</v>
      </c>
      <c r="M95" s="1">
        <f t="shared" si="12"/>
        <v>4</v>
      </c>
    </row>
    <row r="96" spans="1:13" x14ac:dyDescent="0.4">
      <c r="A96" s="9">
        <v>95</v>
      </c>
      <c r="B96">
        <v>188</v>
      </c>
      <c r="C96" s="14">
        <f t="shared" si="13"/>
        <v>37.6</v>
      </c>
      <c r="D96" s="3">
        <v>0.13055555555555601</v>
      </c>
      <c r="E96">
        <v>18</v>
      </c>
      <c r="F96" s="8">
        <v>11</v>
      </c>
      <c r="G96" s="8">
        <v>10</v>
      </c>
      <c r="H96" s="1">
        <f t="shared" si="7"/>
        <v>-7</v>
      </c>
      <c r="I96" s="1">
        <f t="shared" si="8"/>
        <v>-8</v>
      </c>
      <c r="J96" s="1">
        <f t="shared" si="9"/>
        <v>7</v>
      </c>
      <c r="K96" s="1">
        <f t="shared" si="10"/>
        <v>8</v>
      </c>
      <c r="L96" s="1">
        <f t="shared" si="11"/>
        <v>49</v>
      </c>
      <c r="M96" s="1">
        <f t="shared" si="12"/>
        <v>64</v>
      </c>
    </row>
    <row r="97" spans="1:13" x14ac:dyDescent="0.4">
      <c r="A97" s="9">
        <v>96</v>
      </c>
      <c r="B97">
        <v>190</v>
      </c>
      <c r="C97" s="14">
        <f t="shared" si="13"/>
        <v>38</v>
      </c>
      <c r="D97" s="3">
        <v>0.131944444444445</v>
      </c>
      <c r="E97">
        <v>18</v>
      </c>
      <c r="F97" s="11">
        <v>13</v>
      </c>
      <c r="G97" s="11">
        <v>12</v>
      </c>
      <c r="H97" s="1">
        <f t="shared" si="7"/>
        <v>-5</v>
      </c>
      <c r="I97" s="1">
        <f t="shared" si="8"/>
        <v>-6</v>
      </c>
      <c r="J97" s="1">
        <f t="shared" si="9"/>
        <v>5</v>
      </c>
      <c r="K97" s="1">
        <f t="shared" si="10"/>
        <v>6</v>
      </c>
      <c r="L97" s="1">
        <f t="shared" si="11"/>
        <v>25</v>
      </c>
      <c r="M97" s="1">
        <f t="shared" si="12"/>
        <v>36</v>
      </c>
    </row>
    <row r="98" spans="1:13" x14ac:dyDescent="0.4">
      <c r="A98" s="9">
        <v>97</v>
      </c>
      <c r="B98" s="1">
        <v>192</v>
      </c>
      <c r="C98" s="14">
        <f t="shared" si="13"/>
        <v>38.4</v>
      </c>
      <c r="D98" s="2">
        <v>0.133333333333334</v>
      </c>
      <c r="E98">
        <v>18</v>
      </c>
      <c r="F98" s="11">
        <v>13</v>
      </c>
      <c r="G98" s="11">
        <v>12</v>
      </c>
      <c r="H98" s="1">
        <f t="shared" si="7"/>
        <v>-5</v>
      </c>
      <c r="I98" s="1">
        <f t="shared" si="8"/>
        <v>-6</v>
      </c>
      <c r="J98" s="1">
        <f t="shared" si="9"/>
        <v>5</v>
      </c>
      <c r="K98" s="1">
        <f t="shared" si="10"/>
        <v>6</v>
      </c>
      <c r="L98" s="1">
        <f t="shared" si="11"/>
        <v>25</v>
      </c>
      <c r="M98" s="1">
        <f t="shared" si="12"/>
        <v>36</v>
      </c>
    </row>
    <row r="99" spans="1:13" x14ac:dyDescent="0.4">
      <c r="A99" s="9">
        <v>98</v>
      </c>
      <c r="B99">
        <v>194</v>
      </c>
      <c r="C99" s="14">
        <f t="shared" si="13"/>
        <v>38.799999999999997</v>
      </c>
      <c r="D99" s="3">
        <v>0.13472222222222199</v>
      </c>
      <c r="E99">
        <v>18</v>
      </c>
      <c r="F99" s="11">
        <v>13</v>
      </c>
      <c r="G99" s="11">
        <v>13</v>
      </c>
      <c r="H99" s="1">
        <f t="shared" si="7"/>
        <v>-5</v>
      </c>
      <c r="I99" s="1">
        <f t="shared" si="8"/>
        <v>-5</v>
      </c>
      <c r="J99" s="1">
        <f t="shared" si="9"/>
        <v>5</v>
      </c>
      <c r="K99" s="1">
        <f t="shared" si="10"/>
        <v>5</v>
      </c>
      <c r="L99" s="1">
        <f t="shared" si="11"/>
        <v>25</v>
      </c>
      <c r="M99" s="1">
        <f t="shared" si="12"/>
        <v>25</v>
      </c>
    </row>
    <row r="100" spans="1:13" x14ac:dyDescent="0.4">
      <c r="A100" s="9">
        <v>99</v>
      </c>
      <c r="B100">
        <v>196</v>
      </c>
      <c r="C100" s="14">
        <f t="shared" si="13"/>
        <v>39.200000000000003</v>
      </c>
      <c r="D100" s="3">
        <v>0.13611111111111099</v>
      </c>
      <c r="E100">
        <v>18</v>
      </c>
      <c r="F100" s="8">
        <v>10</v>
      </c>
      <c r="G100" s="11">
        <v>16</v>
      </c>
      <c r="H100" s="1">
        <f t="shared" si="7"/>
        <v>-8</v>
      </c>
      <c r="I100" s="1">
        <f t="shared" si="8"/>
        <v>-2</v>
      </c>
      <c r="J100" s="1">
        <f t="shared" si="9"/>
        <v>8</v>
      </c>
      <c r="K100" s="1">
        <f t="shared" si="10"/>
        <v>2</v>
      </c>
      <c r="L100" s="1">
        <f t="shared" si="11"/>
        <v>64</v>
      </c>
      <c r="M100" s="1">
        <f t="shared" si="12"/>
        <v>4</v>
      </c>
    </row>
    <row r="101" spans="1:13" x14ac:dyDescent="0.4">
      <c r="A101" s="9">
        <v>100</v>
      </c>
      <c r="B101">
        <v>198</v>
      </c>
      <c r="C101" s="14">
        <f t="shared" si="13"/>
        <v>39.6</v>
      </c>
      <c r="D101" s="2">
        <v>0.13750000000000001</v>
      </c>
      <c r="E101">
        <v>18</v>
      </c>
      <c r="F101" s="8">
        <v>10</v>
      </c>
      <c r="G101" s="8">
        <v>15</v>
      </c>
      <c r="H101" s="1">
        <f t="shared" si="7"/>
        <v>-8</v>
      </c>
      <c r="I101" s="1">
        <f t="shared" si="8"/>
        <v>-3</v>
      </c>
      <c r="J101" s="1">
        <f t="shared" si="9"/>
        <v>8</v>
      </c>
      <c r="K101" s="1">
        <f t="shared" si="10"/>
        <v>3</v>
      </c>
      <c r="L101" s="1">
        <f t="shared" si="11"/>
        <v>64</v>
      </c>
      <c r="M101" s="1">
        <f t="shared" si="12"/>
        <v>9</v>
      </c>
    </row>
    <row r="102" spans="1:13" x14ac:dyDescent="0.4">
      <c r="A102" s="9">
        <v>101</v>
      </c>
      <c r="B102" s="1">
        <v>200</v>
      </c>
      <c r="C102" s="14">
        <f t="shared" si="13"/>
        <v>40</v>
      </c>
      <c r="D102" s="3">
        <v>0.13888888888888901</v>
      </c>
      <c r="E102">
        <v>18</v>
      </c>
      <c r="F102" s="11">
        <v>10</v>
      </c>
      <c r="G102" s="11">
        <v>14</v>
      </c>
      <c r="H102" s="1">
        <f t="shared" si="7"/>
        <v>-8</v>
      </c>
      <c r="I102" s="1">
        <f t="shared" si="8"/>
        <v>-4</v>
      </c>
      <c r="J102" s="1">
        <f t="shared" si="9"/>
        <v>8</v>
      </c>
      <c r="K102" s="1">
        <f t="shared" si="10"/>
        <v>4</v>
      </c>
      <c r="L102" s="1">
        <f t="shared" si="11"/>
        <v>64</v>
      </c>
      <c r="M102" s="1">
        <f t="shared" si="12"/>
        <v>16</v>
      </c>
    </row>
    <row r="103" spans="1:13" x14ac:dyDescent="0.4">
      <c r="A103" s="9">
        <v>102</v>
      </c>
      <c r="B103">
        <v>202</v>
      </c>
      <c r="C103" s="14">
        <f t="shared" si="13"/>
        <v>40.4</v>
      </c>
      <c r="D103" s="3">
        <v>0.140277777777778</v>
      </c>
      <c r="E103">
        <v>17</v>
      </c>
      <c r="F103" s="11">
        <v>11</v>
      </c>
      <c r="G103" s="11">
        <v>13</v>
      </c>
      <c r="H103" s="1">
        <f t="shared" si="7"/>
        <v>-6</v>
      </c>
      <c r="I103" s="1">
        <f t="shared" si="8"/>
        <v>-4</v>
      </c>
      <c r="J103" s="1">
        <f t="shared" si="9"/>
        <v>6</v>
      </c>
      <c r="K103" s="1">
        <f t="shared" si="10"/>
        <v>4</v>
      </c>
      <c r="L103" s="1">
        <f t="shared" si="11"/>
        <v>36</v>
      </c>
      <c r="M103" s="1">
        <f t="shared" si="12"/>
        <v>16</v>
      </c>
    </row>
    <row r="104" spans="1:13" x14ac:dyDescent="0.4">
      <c r="A104" s="9">
        <v>103</v>
      </c>
      <c r="B104">
        <v>204</v>
      </c>
      <c r="C104" s="14">
        <f t="shared" si="13"/>
        <v>40.799999999999997</v>
      </c>
      <c r="D104" s="2">
        <v>0.141666666666667</v>
      </c>
      <c r="E104">
        <v>17</v>
      </c>
      <c r="F104" s="11">
        <v>11</v>
      </c>
      <c r="G104" s="11">
        <v>13</v>
      </c>
      <c r="H104" s="1">
        <f t="shared" si="7"/>
        <v>-6</v>
      </c>
      <c r="I104" s="1">
        <f t="shared" si="8"/>
        <v>-4</v>
      </c>
      <c r="J104" s="1">
        <f t="shared" si="9"/>
        <v>6</v>
      </c>
      <c r="K104" s="1">
        <f t="shared" si="10"/>
        <v>4</v>
      </c>
      <c r="L104" s="1">
        <f t="shared" si="11"/>
        <v>36</v>
      </c>
      <c r="M104" s="1">
        <f t="shared" si="12"/>
        <v>16</v>
      </c>
    </row>
    <row r="105" spans="1:13" x14ac:dyDescent="0.4">
      <c r="A105" s="9">
        <v>104</v>
      </c>
      <c r="B105">
        <v>206</v>
      </c>
      <c r="C105" s="14">
        <f t="shared" si="13"/>
        <v>41.2</v>
      </c>
      <c r="D105" s="3">
        <v>0.14305555555555599</v>
      </c>
      <c r="E105">
        <v>17</v>
      </c>
      <c r="F105" s="8">
        <v>10</v>
      </c>
      <c r="G105" s="11">
        <v>14</v>
      </c>
      <c r="H105" s="1">
        <f t="shared" si="7"/>
        <v>-7</v>
      </c>
      <c r="I105" s="1">
        <f t="shared" si="8"/>
        <v>-3</v>
      </c>
      <c r="J105" s="1">
        <f t="shared" si="9"/>
        <v>7</v>
      </c>
      <c r="K105" s="1">
        <f t="shared" si="10"/>
        <v>3</v>
      </c>
      <c r="L105" s="1">
        <f t="shared" si="11"/>
        <v>49</v>
      </c>
      <c r="M105" s="1">
        <f t="shared" si="12"/>
        <v>9</v>
      </c>
    </row>
    <row r="106" spans="1:13" x14ac:dyDescent="0.4">
      <c r="A106" s="9">
        <v>105</v>
      </c>
      <c r="B106" s="1">
        <v>208</v>
      </c>
      <c r="C106" s="14">
        <f t="shared" si="13"/>
        <v>41.6</v>
      </c>
      <c r="D106" s="3">
        <v>0.14444444444444501</v>
      </c>
      <c r="E106">
        <v>17</v>
      </c>
      <c r="F106" s="11">
        <v>10</v>
      </c>
      <c r="G106" s="8">
        <v>14</v>
      </c>
      <c r="H106" s="1">
        <f t="shared" si="7"/>
        <v>-7</v>
      </c>
      <c r="I106" s="1">
        <f t="shared" si="8"/>
        <v>-3</v>
      </c>
      <c r="J106" s="1">
        <f t="shared" si="9"/>
        <v>7</v>
      </c>
      <c r="K106" s="1">
        <f t="shared" si="10"/>
        <v>3</v>
      </c>
      <c r="L106" s="1">
        <f t="shared" si="11"/>
        <v>49</v>
      </c>
      <c r="M106" s="1">
        <f t="shared" si="12"/>
        <v>9</v>
      </c>
    </row>
    <row r="107" spans="1:13" x14ac:dyDescent="0.4">
      <c r="A107" s="9">
        <v>106</v>
      </c>
      <c r="B107">
        <v>210</v>
      </c>
      <c r="C107" s="14">
        <f t="shared" si="13"/>
        <v>42</v>
      </c>
      <c r="D107" s="2">
        <v>0.14583333333333401</v>
      </c>
      <c r="E107">
        <v>17</v>
      </c>
      <c r="F107" s="11">
        <v>10</v>
      </c>
      <c r="G107" s="11">
        <v>15</v>
      </c>
      <c r="H107" s="1">
        <f t="shared" si="7"/>
        <v>-7</v>
      </c>
      <c r="I107" s="1">
        <f t="shared" si="8"/>
        <v>-2</v>
      </c>
      <c r="J107" s="1">
        <f t="shared" si="9"/>
        <v>7</v>
      </c>
      <c r="K107" s="1">
        <f t="shared" si="10"/>
        <v>2</v>
      </c>
      <c r="L107" s="1">
        <f t="shared" si="11"/>
        <v>49</v>
      </c>
      <c r="M107" s="1">
        <f t="shared" si="12"/>
        <v>4</v>
      </c>
    </row>
    <row r="108" spans="1:13" x14ac:dyDescent="0.4">
      <c r="A108" s="9">
        <v>107</v>
      </c>
      <c r="B108">
        <v>212</v>
      </c>
      <c r="C108" s="14">
        <f t="shared" si="13"/>
        <v>42.4</v>
      </c>
      <c r="D108" s="3">
        <v>0.147222222222223</v>
      </c>
      <c r="E108">
        <v>17</v>
      </c>
      <c r="F108" s="11">
        <v>11</v>
      </c>
      <c r="G108" s="11">
        <v>11</v>
      </c>
      <c r="H108" s="1">
        <f t="shared" si="7"/>
        <v>-6</v>
      </c>
      <c r="I108" s="1">
        <f t="shared" si="8"/>
        <v>-6</v>
      </c>
      <c r="J108" s="1">
        <f t="shared" si="9"/>
        <v>6</v>
      </c>
      <c r="K108" s="1">
        <f t="shared" si="10"/>
        <v>6</v>
      </c>
      <c r="L108" s="1">
        <f t="shared" si="11"/>
        <v>36</v>
      </c>
      <c r="M108" s="1">
        <f t="shared" si="12"/>
        <v>36</v>
      </c>
    </row>
    <row r="109" spans="1:13" x14ac:dyDescent="0.4">
      <c r="A109" s="9">
        <v>108</v>
      </c>
      <c r="B109">
        <v>214</v>
      </c>
      <c r="C109" s="14">
        <f t="shared" si="13"/>
        <v>42.8</v>
      </c>
      <c r="D109" s="3">
        <v>0.148611111111111</v>
      </c>
      <c r="E109">
        <v>17</v>
      </c>
      <c r="F109" s="11">
        <v>11</v>
      </c>
      <c r="G109" s="11">
        <v>10</v>
      </c>
      <c r="H109" s="1">
        <f t="shared" si="7"/>
        <v>-6</v>
      </c>
      <c r="I109" s="1">
        <f t="shared" si="8"/>
        <v>-7</v>
      </c>
      <c r="J109" s="1">
        <f t="shared" si="9"/>
        <v>6</v>
      </c>
      <c r="K109" s="1">
        <f t="shared" si="10"/>
        <v>7</v>
      </c>
      <c r="L109" s="1">
        <f t="shared" si="11"/>
        <v>36</v>
      </c>
      <c r="M109" s="1">
        <f t="shared" si="12"/>
        <v>49</v>
      </c>
    </row>
    <row r="110" spans="1:13" x14ac:dyDescent="0.4">
      <c r="A110" s="9">
        <v>109</v>
      </c>
      <c r="B110" s="1">
        <v>216</v>
      </c>
      <c r="C110" s="14">
        <f t="shared" si="13"/>
        <v>43.2</v>
      </c>
      <c r="D110" s="2">
        <v>0.15</v>
      </c>
      <c r="E110">
        <v>17</v>
      </c>
      <c r="F110" s="8">
        <v>11</v>
      </c>
      <c r="G110" s="11">
        <v>10</v>
      </c>
      <c r="H110" s="1">
        <f t="shared" si="7"/>
        <v>-6</v>
      </c>
      <c r="I110" s="1">
        <f t="shared" si="8"/>
        <v>-7</v>
      </c>
      <c r="J110" s="1">
        <f t="shared" si="9"/>
        <v>6</v>
      </c>
      <c r="K110" s="1">
        <f t="shared" si="10"/>
        <v>7</v>
      </c>
      <c r="L110" s="1">
        <f t="shared" si="11"/>
        <v>36</v>
      </c>
      <c r="M110" s="1">
        <f t="shared" si="12"/>
        <v>49</v>
      </c>
    </row>
    <row r="111" spans="1:13" x14ac:dyDescent="0.4">
      <c r="A111" s="9">
        <v>110</v>
      </c>
      <c r="B111">
        <v>218</v>
      </c>
      <c r="C111" s="14">
        <f t="shared" si="13"/>
        <v>43.6</v>
      </c>
      <c r="D111" s="3">
        <v>0.15138888888888899</v>
      </c>
      <c r="E111">
        <v>17</v>
      </c>
      <c r="F111" s="11">
        <v>11</v>
      </c>
      <c r="G111" s="8">
        <v>14</v>
      </c>
      <c r="H111" s="1">
        <f t="shared" si="7"/>
        <v>-6</v>
      </c>
      <c r="I111" s="1">
        <f t="shared" si="8"/>
        <v>-3</v>
      </c>
      <c r="J111" s="1">
        <f t="shared" si="9"/>
        <v>6</v>
      </c>
      <c r="K111" s="1">
        <f t="shared" si="10"/>
        <v>3</v>
      </c>
      <c r="L111" s="1">
        <f t="shared" si="11"/>
        <v>36</v>
      </c>
      <c r="M111" s="1">
        <f t="shared" si="12"/>
        <v>9</v>
      </c>
    </row>
    <row r="112" spans="1:13" x14ac:dyDescent="0.4">
      <c r="A112" s="9">
        <v>111</v>
      </c>
      <c r="B112">
        <v>220</v>
      </c>
      <c r="C112" s="14">
        <f t="shared" si="13"/>
        <v>44</v>
      </c>
      <c r="D112" s="3">
        <v>0.15277777777777801</v>
      </c>
      <c r="E112">
        <v>18</v>
      </c>
      <c r="F112" s="11">
        <v>11</v>
      </c>
      <c r="G112" s="11">
        <v>14</v>
      </c>
      <c r="H112" s="1">
        <f t="shared" si="7"/>
        <v>-7</v>
      </c>
      <c r="I112" s="1">
        <f t="shared" si="8"/>
        <v>-4</v>
      </c>
      <c r="J112" s="1">
        <f t="shared" si="9"/>
        <v>7</v>
      </c>
      <c r="K112" s="1">
        <f t="shared" si="10"/>
        <v>4</v>
      </c>
      <c r="L112" s="1">
        <f t="shared" si="11"/>
        <v>49</v>
      </c>
      <c r="M112" s="1">
        <f t="shared" si="12"/>
        <v>16</v>
      </c>
    </row>
    <row r="113" spans="1:13" x14ac:dyDescent="0.4">
      <c r="A113" s="9">
        <v>112</v>
      </c>
      <c r="B113">
        <v>222</v>
      </c>
      <c r="C113" s="14">
        <f t="shared" si="13"/>
        <v>44.4</v>
      </c>
      <c r="D113" s="2">
        <v>0.15416666666666701</v>
      </c>
      <c r="E113">
        <v>18</v>
      </c>
      <c r="F113" s="11">
        <v>11</v>
      </c>
      <c r="G113" s="11">
        <v>12</v>
      </c>
      <c r="H113" s="1">
        <f t="shared" si="7"/>
        <v>-7</v>
      </c>
      <c r="I113" s="1">
        <f t="shared" si="8"/>
        <v>-6</v>
      </c>
      <c r="J113" s="1">
        <f t="shared" si="9"/>
        <v>7</v>
      </c>
      <c r="K113" s="1">
        <f t="shared" si="10"/>
        <v>6</v>
      </c>
      <c r="L113" s="1">
        <f t="shared" si="11"/>
        <v>49</v>
      </c>
      <c r="M113" s="1">
        <f t="shared" si="12"/>
        <v>36</v>
      </c>
    </row>
    <row r="114" spans="1:13" x14ac:dyDescent="0.4">
      <c r="A114" s="9">
        <v>113</v>
      </c>
      <c r="B114" s="1">
        <v>224</v>
      </c>
      <c r="C114" s="14">
        <f t="shared" si="13"/>
        <v>44.8</v>
      </c>
      <c r="D114" s="3">
        <v>0.155555555555556</v>
      </c>
      <c r="E114">
        <v>17</v>
      </c>
      <c r="F114" s="11">
        <v>11</v>
      </c>
      <c r="G114" s="11">
        <v>9</v>
      </c>
      <c r="H114" s="1">
        <f t="shared" si="7"/>
        <v>-6</v>
      </c>
      <c r="I114" s="1">
        <f t="shared" si="8"/>
        <v>-8</v>
      </c>
      <c r="J114" s="1">
        <f t="shared" si="9"/>
        <v>6</v>
      </c>
      <c r="K114" s="1">
        <f t="shared" si="10"/>
        <v>8</v>
      </c>
      <c r="L114" s="1">
        <f t="shared" si="11"/>
        <v>36</v>
      </c>
      <c r="M114" s="1">
        <f t="shared" si="12"/>
        <v>64</v>
      </c>
    </row>
    <row r="115" spans="1:13" x14ac:dyDescent="0.4">
      <c r="A115" s="9">
        <v>114</v>
      </c>
      <c r="B115">
        <v>226</v>
      </c>
      <c r="C115" s="14">
        <f t="shared" si="13"/>
        <v>45.2</v>
      </c>
      <c r="D115" s="3">
        <v>0.156944444444445</v>
      </c>
      <c r="E115">
        <v>17</v>
      </c>
      <c r="F115" s="11">
        <v>11</v>
      </c>
      <c r="G115" s="11">
        <v>15</v>
      </c>
      <c r="H115" s="1">
        <f t="shared" si="7"/>
        <v>-6</v>
      </c>
      <c r="I115" s="1">
        <f t="shared" si="8"/>
        <v>-2</v>
      </c>
      <c r="J115" s="1">
        <f t="shared" si="9"/>
        <v>6</v>
      </c>
      <c r="K115" s="1">
        <f t="shared" si="10"/>
        <v>2</v>
      </c>
      <c r="L115" s="1">
        <f t="shared" si="11"/>
        <v>36</v>
      </c>
      <c r="M115" s="1">
        <f t="shared" si="12"/>
        <v>4</v>
      </c>
    </row>
    <row r="116" spans="1:13" x14ac:dyDescent="0.4">
      <c r="A116" s="9">
        <v>115</v>
      </c>
      <c r="B116">
        <v>228</v>
      </c>
      <c r="C116" s="14">
        <f t="shared" si="13"/>
        <v>45.6</v>
      </c>
      <c r="D116" s="2">
        <v>0.15833333333333399</v>
      </c>
      <c r="E116">
        <v>17</v>
      </c>
      <c r="F116" s="11">
        <v>12</v>
      </c>
      <c r="G116" s="8">
        <v>14</v>
      </c>
      <c r="H116" s="1">
        <f t="shared" si="7"/>
        <v>-5</v>
      </c>
      <c r="I116" s="1">
        <f t="shared" si="8"/>
        <v>-3</v>
      </c>
      <c r="J116" s="1">
        <f t="shared" si="9"/>
        <v>5</v>
      </c>
      <c r="K116" s="1">
        <f t="shared" si="10"/>
        <v>3</v>
      </c>
      <c r="L116" s="1">
        <f t="shared" si="11"/>
        <v>25</v>
      </c>
      <c r="M116" s="1">
        <f t="shared" si="12"/>
        <v>9</v>
      </c>
    </row>
    <row r="117" spans="1:13" x14ac:dyDescent="0.4">
      <c r="A117" s="9">
        <v>116</v>
      </c>
      <c r="B117">
        <v>230</v>
      </c>
      <c r="C117" s="14">
        <f t="shared" si="13"/>
        <v>46</v>
      </c>
      <c r="D117" s="3">
        <v>0.15972222222222299</v>
      </c>
      <c r="E117">
        <v>17</v>
      </c>
      <c r="F117" s="11">
        <v>12</v>
      </c>
      <c r="G117" s="11">
        <v>15</v>
      </c>
      <c r="H117" s="1">
        <f t="shared" si="7"/>
        <v>-5</v>
      </c>
      <c r="I117" s="1">
        <f t="shared" si="8"/>
        <v>-2</v>
      </c>
      <c r="J117" s="1">
        <f t="shared" si="9"/>
        <v>5</v>
      </c>
      <c r="K117" s="1">
        <f t="shared" si="10"/>
        <v>2</v>
      </c>
      <c r="L117" s="1">
        <f t="shared" si="11"/>
        <v>25</v>
      </c>
      <c r="M117" s="1">
        <f t="shared" si="12"/>
        <v>4</v>
      </c>
    </row>
    <row r="118" spans="1:13" x14ac:dyDescent="0.4">
      <c r="A118" s="9">
        <v>117</v>
      </c>
      <c r="B118" s="1">
        <v>232</v>
      </c>
      <c r="C118" s="14">
        <f t="shared" si="13"/>
        <v>46.4</v>
      </c>
      <c r="D118" s="3">
        <v>0.16111111111111201</v>
      </c>
      <c r="E118">
        <v>16</v>
      </c>
      <c r="F118" s="11">
        <v>12</v>
      </c>
      <c r="G118" s="11">
        <v>16</v>
      </c>
      <c r="H118" s="1">
        <f t="shared" si="7"/>
        <v>-4</v>
      </c>
      <c r="I118" s="1">
        <f t="shared" si="8"/>
        <v>0</v>
      </c>
      <c r="J118" s="1">
        <f t="shared" si="9"/>
        <v>4</v>
      </c>
      <c r="K118" s="1">
        <f t="shared" si="10"/>
        <v>0</v>
      </c>
      <c r="L118" s="1">
        <f t="shared" si="11"/>
        <v>16</v>
      </c>
      <c r="M118" s="1">
        <f t="shared" si="12"/>
        <v>0</v>
      </c>
    </row>
    <row r="119" spans="1:13" x14ac:dyDescent="0.4">
      <c r="A119" s="9">
        <v>118</v>
      </c>
      <c r="B119">
        <v>234</v>
      </c>
      <c r="C119" s="14">
        <f t="shared" si="13"/>
        <v>46.8</v>
      </c>
      <c r="D119" s="2">
        <v>0.162500000000001</v>
      </c>
      <c r="E119">
        <v>16</v>
      </c>
      <c r="F119" s="11">
        <v>12</v>
      </c>
      <c r="G119" s="11">
        <v>14</v>
      </c>
      <c r="H119" s="1">
        <f t="shared" si="7"/>
        <v>-4</v>
      </c>
      <c r="I119" s="1">
        <f t="shared" si="8"/>
        <v>-2</v>
      </c>
      <c r="J119" s="1">
        <f t="shared" si="9"/>
        <v>4</v>
      </c>
      <c r="K119" s="1">
        <f t="shared" si="10"/>
        <v>2</v>
      </c>
      <c r="L119" s="1">
        <f t="shared" si="11"/>
        <v>16</v>
      </c>
      <c r="M119" s="1">
        <f t="shared" si="12"/>
        <v>4</v>
      </c>
    </row>
    <row r="120" spans="1:13" x14ac:dyDescent="0.4">
      <c r="A120" s="9">
        <v>119</v>
      </c>
      <c r="B120">
        <v>236</v>
      </c>
      <c r="C120" s="14">
        <f t="shared" si="13"/>
        <v>47.2</v>
      </c>
      <c r="D120" s="3">
        <v>0.163888888888889</v>
      </c>
      <c r="E120">
        <v>16</v>
      </c>
      <c r="F120" s="8">
        <v>14</v>
      </c>
      <c r="G120" s="11">
        <v>10</v>
      </c>
      <c r="H120" s="1">
        <f t="shared" si="7"/>
        <v>-2</v>
      </c>
      <c r="I120" s="1">
        <f t="shared" si="8"/>
        <v>-6</v>
      </c>
      <c r="J120" s="1">
        <f t="shared" si="9"/>
        <v>2</v>
      </c>
      <c r="K120" s="1">
        <f t="shared" si="10"/>
        <v>6</v>
      </c>
      <c r="L120" s="1">
        <f t="shared" si="11"/>
        <v>4</v>
      </c>
      <c r="M120" s="1">
        <f t="shared" si="12"/>
        <v>36</v>
      </c>
    </row>
    <row r="121" spans="1:13" x14ac:dyDescent="0.4">
      <c r="A121" s="9">
        <v>120</v>
      </c>
      <c r="B121">
        <v>238</v>
      </c>
      <c r="C121" s="14">
        <f t="shared" si="13"/>
        <v>47.6</v>
      </c>
      <c r="D121" s="3">
        <v>0.165277777777778</v>
      </c>
      <c r="E121">
        <v>17</v>
      </c>
      <c r="F121" s="8">
        <v>14</v>
      </c>
      <c r="G121" s="8">
        <v>13</v>
      </c>
      <c r="H121" s="1">
        <f t="shared" si="7"/>
        <v>-3</v>
      </c>
      <c r="I121" s="1">
        <f t="shared" si="8"/>
        <v>-4</v>
      </c>
      <c r="J121" s="1">
        <f t="shared" si="9"/>
        <v>3</v>
      </c>
      <c r="K121" s="1">
        <f t="shared" si="10"/>
        <v>4</v>
      </c>
      <c r="L121" s="1">
        <f t="shared" si="11"/>
        <v>9</v>
      </c>
      <c r="M121" s="1">
        <f t="shared" si="12"/>
        <v>16</v>
      </c>
    </row>
    <row r="122" spans="1:13" x14ac:dyDescent="0.4">
      <c r="A122" s="9">
        <v>121</v>
      </c>
      <c r="B122" s="1">
        <v>240</v>
      </c>
      <c r="C122" s="14">
        <f t="shared" si="13"/>
        <v>48</v>
      </c>
      <c r="D122" s="2">
        <v>0.16666666666666699</v>
      </c>
      <c r="E122">
        <v>17</v>
      </c>
      <c r="F122" s="8">
        <v>14</v>
      </c>
      <c r="G122" s="11">
        <v>14</v>
      </c>
      <c r="H122" s="1">
        <f t="shared" si="7"/>
        <v>-3</v>
      </c>
      <c r="I122" s="1">
        <f t="shared" si="8"/>
        <v>-3</v>
      </c>
      <c r="J122" s="1">
        <f t="shared" si="9"/>
        <v>3</v>
      </c>
      <c r="K122" s="1">
        <f t="shared" si="10"/>
        <v>3</v>
      </c>
      <c r="L122" s="1">
        <f t="shared" si="11"/>
        <v>9</v>
      </c>
      <c r="M122" s="1">
        <f t="shared" si="12"/>
        <v>9</v>
      </c>
    </row>
    <row r="123" spans="1:13" x14ac:dyDescent="0.4">
      <c r="A123" s="9">
        <v>122</v>
      </c>
      <c r="B123">
        <v>242</v>
      </c>
      <c r="C123" s="14">
        <f t="shared" si="13"/>
        <v>48.4</v>
      </c>
      <c r="D123" s="3">
        <v>0.16805555555555601</v>
      </c>
      <c r="E123">
        <v>17</v>
      </c>
      <c r="F123" s="11">
        <v>15</v>
      </c>
      <c r="G123" s="11">
        <v>14</v>
      </c>
      <c r="H123" s="1">
        <f t="shared" si="7"/>
        <v>-2</v>
      </c>
      <c r="I123" s="1">
        <f t="shared" si="8"/>
        <v>-3</v>
      </c>
      <c r="J123" s="1">
        <f t="shared" si="9"/>
        <v>2</v>
      </c>
      <c r="K123" s="1">
        <f t="shared" si="10"/>
        <v>3</v>
      </c>
      <c r="L123" s="1">
        <f t="shared" si="11"/>
        <v>4</v>
      </c>
      <c r="M123" s="1">
        <f t="shared" si="12"/>
        <v>9</v>
      </c>
    </row>
    <row r="124" spans="1:13" x14ac:dyDescent="0.4">
      <c r="A124" s="9">
        <v>123</v>
      </c>
      <c r="B124">
        <v>244</v>
      </c>
      <c r="C124" s="14">
        <f t="shared" si="13"/>
        <v>48.8</v>
      </c>
      <c r="D124" s="3">
        <v>0.16944444444444501</v>
      </c>
      <c r="E124">
        <v>17</v>
      </c>
      <c r="F124" s="11">
        <v>15</v>
      </c>
      <c r="G124" s="11">
        <v>16</v>
      </c>
      <c r="H124" s="1">
        <f t="shared" si="7"/>
        <v>-2</v>
      </c>
      <c r="I124" s="1">
        <f t="shared" si="8"/>
        <v>-1</v>
      </c>
      <c r="J124" s="1">
        <f t="shared" si="9"/>
        <v>2</v>
      </c>
      <c r="K124" s="1">
        <f t="shared" si="10"/>
        <v>1</v>
      </c>
      <c r="L124" s="1">
        <f t="shared" si="11"/>
        <v>4</v>
      </c>
      <c r="M124" s="1">
        <f t="shared" si="12"/>
        <v>1</v>
      </c>
    </row>
    <row r="125" spans="1:13" x14ac:dyDescent="0.4">
      <c r="A125" s="9">
        <v>124</v>
      </c>
      <c r="B125">
        <v>246</v>
      </c>
      <c r="C125" s="14">
        <f t="shared" si="13"/>
        <v>49.2</v>
      </c>
      <c r="D125" s="2">
        <v>0.170833333333334</v>
      </c>
      <c r="E125">
        <v>17</v>
      </c>
      <c r="F125" s="8">
        <v>11</v>
      </c>
      <c r="G125" s="11">
        <v>15</v>
      </c>
      <c r="H125" s="1">
        <f t="shared" si="7"/>
        <v>-6</v>
      </c>
      <c r="I125" s="1">
        <f t="shared" si="8"/>
        <v>-2</v>
      </c>
      <c r="J125" s="1">
        <f t="shared" si="9"/>
        <v>6</v>
      </c>
      <c r="K125" s="1">
        <f t="shared" si="10"/>
        <v>2</v>
      </c>
      <c r="L125" s="1">
        <f t="shared" si="11"/>
        <v>36</v>
      </c>
      <c r="M125" s="1">
        <f t="shared" si="12"/>
        <v>4</v>
      </c>
    </row>
    <row r="126" spans="1:13" x14ac:dyDescent="0.4">
      <c r="A126" s="9">
        <v>125</v>
      </c>
      <c r="B126" s="1">
        <v>248</v>
      </c>
      <c r="C126" s="14">
        <f t="shared" si="13"/>
        <v>49.6</v>
      </c>
      <c r="D126" s="3">
        <v>0.172222222222223</v>
      </c>
      <c r="E126">
        <v>17</v>
      </c>
      <c r="F126" s="11">
        <v>8</v>
      </c>
      <c r="G126" s="8">
        <v>14</v>
      </c>
      <c r="H126" s="1">
        <f t="shared" si="7"/>
        <v>-9</v>
      </c>
      <c r="I126" s="1">
        <f t="shared" si="8"/>
        <v>-3</v>
      </c>
      <c r="J126" s="1">
        <f t="shared" si="9"/>
        <v>9</v>
      </c>
      <c r="K126" s="1">
        <f t="shared" si="10"/>
        <v>3</v>
      </c>
      <c r="L126" s="1">
        <f t="shared" si="11"/>
        <v>81</v>
      </c>
      <c r="M126" s="1">
        <f t="shared" si="12"/>
        <v>9</v>
      </c>
    </row>
    <row r="127" spans="1:13" x14ac:dyDescent="0.4">
      <c r="A127" s="9">
        <v>126</v>
      </c>
      <c r="B127">
        <v>250</v>
      </c>
      <c r="C127" s="14">
        <f t="shared" si="13"/>
        <v>50</v>
      </c>
      <c r="D127" s="3">
        <v>0.17361111111111199</v>
      </c>
      <c r="E127">
        <v>16</v>
      </c>
      <c r="F127" s="11">
        <v>11</v>
      </c>
      <c r="G127" s="11">
        <v>16</v>
      </c>
      <c r="H127" s="1">
        <f t="shared" si="7"/>
        <v>-5</v>
      </c>
      <c r="I127" s="1">
        <f t="shared" si="8"/>
        <v>0</v>
      </c>
      <c r="J127" s="1">
        <f t="shared" si="9"/>
        <v>5</v>
      </c>
      <c r="K127" s="1">
        <f t="shared" si="10"/>
        <v>0</v>
      </c>
      <c r="L127" s="1">
        <f t="shared" si="11"/>
        <v>25</v>
      </c>
      <c r="M127" s="1">
        <f t="shared" si="12"/>
        <v>0</v>
      </c>
    </row>
    <row r="128" spans="1:13" x14ac:dyDescent="0.4">
      <c r="A128" s="9">
        <v>127</v>
      </c>
      <c r="B128">
        <v>252</v>
      </c>
      <c r="C128" s="14">
        <f t="shared" si="13"/>
        <v>50.4</v>
      </c>
      <c r="D128" s="2">
        <v>0.17500000000000099</v>
      </c>
      <c r="E128">
        <v>16</v>
      </c>
      <c r="F128" s="11">
        <v>11</v>
      </c>
      <c r="G128" s="11">
        <v>14</v>
      </c>
      <c r="H128" s="1">
        <f t="shared" si="7"/>
        <v>-5</v>
      </c>
      <c r="I128" s="1">
        <f t="shared" si="8"/>
        <v>-2</v>
      </c>
      <c r="J128" s="1">
        <f t="shared" si="9"/>
        <v>5</v>
      </c>
      <c r="K128" s="1">
        <f t="shared" si="10"/>
        <v>2</v>
      </c>
      <c r="L128" s="1">
        <f t="shared" si="11"/>
        <v>25</v>
      </c>
      <c r="M128" s="1">
        <f t="shared" si="12"/>
        <v>4</v>
      </c>
    </row>
    <row r="129" spans="1:13" x14ac:dyDescent="0.4">
      <c r="A129" s="9">
        <v>128</v>
      </c>
      <c r="B129">
        <v>254</v>
      </c>
      <c r="C129" s="14">
        <f t="shared" si="13"/>
        <v>50.8</v>
      </c>
      <c r="D129" s="3">
        <v>0.17638888888888901</v>
      </c>
      <c r="E129">
        <v>16</v>
      </c>
      <c r="F129" s="11">
        <v>12</v>
      </c>
      <c r="G129" s="11">
        <v>14</v>
      </c>
      <c r="H129" s="1">
        <f t="shared" si="7"/>
        <v>-4</v>
      </c>
      <c r="I129" s="1">
        <f t="shared" si="8"/>
        <v>-2</v>
      </c>
      <c r="J129" s="1">
        <f t="shared" si="9"/>
        <v>4</v>
      </c>
      <c r="K129" s="1">
        <f t="shared" si="10"/>
        <v>2</v>
      </c>
      <c r="L129" s="1">
        <f t="shared" si="11"/>
        <v>16</v>
      </c>
      <c r="M129" s="1">
        <f t="shared" si="12"/>
        <v>4</v>
      </c>
    </row>
    <row r="130" spans="1:13" x14ac:dyDescent="0.4">
      <c r="A130" s="9">
        <v>129</v>
      </c>
      <c r="B130" s="1">
        <v>256</v>
      </c>
      <c r="C130" s="14">
        <f t="shared" si="13"/>
        <v>51.2</v>
      </c>
      <c r="D130" s="3">
        <v>0.17777777777777801</v>
      </c>
      <c r="E130">
        <v>16</v>
      </c>
      <c r="F130" s="8">
        <v>12</v>
      </c>
      <c r="G130" s="11">
        <v>11</v>
      </c>
      <c r="H130" s="1">
        <f t="shared" si="7"/>
        <v>-4</v>
      </c>
      <c r="I130" s="1">
        <f t="shared" si="8"/>
        <v>-5</v>
      </c>
      <c r="J130" s="1">
        <f t="shared" si="9"/>
        <v>4</v>
      </c>
      <c r="K130" s="1">
        <f t="shared" si="10"/>
        <v>5</v>
      </c>
      <c r="L130" s="1">
        <f t="shared" si="11"/>
        <v>16</v>
      </c>
      <c r="M130" s="1">
        <f t="shared" si="12"/>
        <v>25</v>
      </c>
    </row>
    <row r="131" spans="1:13" x14ac:dyDescent="0.4">
      <c r="A131" s="9">
        <v>130</v>
      </c>
      <c r="B131">
        <v>258</v>
      </c>
      <c r="C131" s="14">
        <f t="shared" si="13"/>
        <v>51.6</v>
      </c>
      <c r="D131" s="2">
        <v>0.179166666666667</v>
      </c>
      <c r="E131">
        <v>16</v>
      </c>
      <c r="F131" s="11">
        <v>12</v>
      </c>
      <c r="G131" s="8">
        <v>12</v>
      </c>
      <c r="H131" s="1">
        <f t="shared" ref="H131:H152" si="14">+F131-E131</f>
        <v>-4</v>
      </c>
      <c r="I131" s="1">
        <f t="shared" ref="I131:I152" si="15">+G131-E131</f>
        <v>-4</v>
      </c>
      <c r="J131" s="1">
        <f t="shared" ref="J131:J152" si="16" xml:space="preserve"> ABS(H131)</f>
        <v>4</v>
      </c>
      <c r="K131" s="1">
        <f t="shared" ref="K131:K152" si="17" xml:space="preserve"> ABS(I131)</f>
        <v>4</v>
      </c>
      <c r="L131" s="1">
        <f t="shared" ref="L131:L152" si="18" xml:space="preserve"> H131^2</f>
        <v>16</v>
      </c>
      <c r="M131" s="1">
        <f t="shared" ref="M131:M152" si="19" xml:space="preserve"> I131^2</f>
        <v>16</v>
      </c>
    </row>
    <row r="132" spans="1:13" x14ac:dyDescent="0.4">
      <c r="A132" s="9">
        <v>131</v>
      </c>
      <c r="B132">
        <v>260</v>
      </c>
      <c r="C132" s="14">
        <f t="shared" ref="C132:C152" si="20">+B132/5</f>
        <v>52</v>
      </c>
      <c r="D132" s="3">
        <v>0.180555555555556</v>
      </c>
      <c r="E132">
        <v>16</v>
      </c>
      <c r="F132" s="11">
        <v>11</v>
      </c>
      <c r="G132" s="11">
        <v>13</v>
      </c>
      <c r="H132" s="1">
        <f t="shared" si="14"/>
        <v>-5</v>
      </c>
      <c r="I132" s="1">
        <f t="shared" si="15"/>
        <v>-3</v>
      </c>
      <c r="J132" s="1">
        <f t="shared" si="16"/>
        <v>5</v>
      </c>
      <c r="K132" s="1">
        <f t="shared" si="17"/>
        <v>3</v>
      </c>
      <c r="L132" s="1">
        <f t="shared" si="18"/>
        <v>25</v>
      </c>
      <c r="M132" s="1">
        <f t="shared" si="19"/>
        <v>9</v>
      </c>
    </row>
    <row r="133" spans="1:13" x14ac:dyDescent="0.4">
      <c r="A133" s="9">
        <v>132</v>
      </c>
      <c r="B133">
        <v>262</v>
      </c>
      <c r="C133" s="14">
        <f t="shared" si="20"/>
        <v>52.4</v>
      </c>
      <c r="D133" s="3">
        <v>0.18194444444444499</v>
      </c>
      <c r="E133">
        <v>16</v>
      </c>
      <c r="F133" s="11">
        <v>11</v>
      </c>
      <c r="G133" s="11">
        <v>13</v>
      </c>
      <c r="H133" s="1">
        <f t="shared" si="14"/>
        <v>-5</v>
      </c>
      <c r="I133" s="1">
        <f t="shared" si="15"/>
        <v>-3</v>
      </c>
      <c r="J133" s="1">
        <f t="shared" si="16"/>
        <v>5</v>
      </c>
      <c r="K133" s="1">
        <f t="shared" si="17"/>
        <v>3</v>
      </c>
      <c r="L133" s="1">
        <f t="shared" si="18"/>
        <v>25</v>
      </c>
      <c r="M133" s="1">
        <f t="shared" si="19"/>
        <v>9</v>
      </c>
    </row>
    <row r="134" spans="1:13" x14ac:dyDescent="0.4">
      <c r="A134" s="9">
        <v>133</v>
      </c>
      <c r="B134" s="1">
        <v>264</v>
      </c>
      <c r="C134" s="14">
        <f t="shared" si="20"/>
        <v>52.8</v>
      </c>
      <c r="D134" s="2">
        <v>0.18333333333333399</v>
      </c>
      <c r="E134">
        <v>16</v>
      </c>
      <c r="F134" s="11">
        <v>10</v>
      </c>
      <c r="G134" s="11">
        <v>11</v>
      </c>
      <c r="H134" s="1">
        <f t="shared" si="14"/>
        <v>-6</v>
      </c>
      <c r="I134" s="1">
        <f t="shared" si="15"/>
        <v>-5</v>
      </c>
      <c r="J134" s="1">
        <f t="shared" si="16"/>
        <v>6</v>
      </c>
      <c r="K134" s="1">
        <f t="shared" si="17"/>
        <v>5</v>
      </c>
      <c r="L134" s="1">
        <f t="shared" si="18"/>
        <v>36</v>
      </c>
      <c r="M134" s="1">
        <f t="shared" si="19"/>
        <v>25</v>
      </c>
    </row>
    <row r="135" spans="1:13" x14ac:dyDescent="0.4">
      <c r="A135" s="9">
        <v>134</v>
      </c>
      <c r="B135">
        <v>266</v>
      </c>
      <c r="C135" s="14">
        <f t="shared" si="20"/>
        <v>53.2</v>
      </c>
      <c r="D135" s="3">
        <v>0.18472222222222301</v>
      </c>
      <c r="E135">
        <v>17</v>
      </c>
      <c r="F135" s="8">
        <v>11</v>
      </c>
      <c r="G135" s="11">
        <v>14</v>
      </c>
      <c r="H135" s="1">
        <f t="shared" si="14"/>
        <v>-6</v>
      </c>
      <c r="I135" s="1">
        <f t="shared" si="15"/>
        <v>-3</v>
      </c>
      <c r="J135" s="1">
        <f t="shared" si="16"/>
        <v>6</v>
      </c>
      <c r="K135" s="1">
        <f t="shared" si="17"/>
        <v>3</v>
      </c>
      <c r="L135" s="1">
        <f t="shared" si="18"/>
        <v>36</v>
      </c>
      <c r="M135" s="1">
        <f t="shared" si="19"/>
        <v>9</v>
      </c>
    </row>
    <row r="136" spans="1:13" x14ac:dyDescent="0.4">
      <c r="A136" s="9">
        <v>135</v>
      </c>
      <c r="B136">
        <v>268</v>
      </c>
      <c r="C136" s="14">
        <f t="shared" si="20"/>
        <v>53.6</v>
      </c>
      <c r="D136" s="3">
        <v>0.186111111111112</v>
      </c>
      <c r="E136">
        <v>17</v>
      </c>
      <c r="F136" s="11">
        <v>11</v>
      </c>
      <c r="G136" s="8">
        <v>17</v>
      </c>
      <c r="H136" s="1">
        <f t="shared" si="14"/>
        <v>-6</v>
      </c>
      <c r="I136" s="1">
        <f t="shared" si="15"/>
        <v>0</v>
      </c>
      <c r="J136" s="1">
        <f t="shared" si="16"/>
        <v>6</v>
      </c>
      <c r="K136" s="1">
        <f t="shared" si="17"/>
        <v>0</v>
      </c>
      <c r="L136" s="1">
        <f t="shared" si="18"/>
        <v>36</v>
      </c>
      <c r="M136" s="1">
        <f t="shared" si="19"/>
        <v>0</v>
      </c>
    </row>
    <row r="137" spans="1:13" x14ac:dyDescent="0.4">
      <c r="A137" s="9">
        <v>136</v>
      </c>
      <c r="B137">
        <v>270</v>
      </c>
      <c r="C137" s="14">
        <f t="shared" si="20"/>
        <v>54</v>
      </c>
      <c r="D137" s="2">
        <v>0.1875</v>
      </c>
      <c r="E137">
        <v>18</v>
      </c>
      <c r="F137" s="11">
        <v>12</v>
      </c>
      <c r="G137" s="11">
        <v>15</v>
      </c>
      <c r="H137" s="1">
        <f t="shared" si="14"/>
        <v>-6</v>
      </c>
      <c r="I137" s="1">
        <f t="shared" si="15"/>
        <v>-3</v>
      </c>
      <c r="J137" s="1">
        <f t="shared" si="16"/>
        <v>6</v>
      </c>
      <c r="K137" s="1">
        <f t="shared" si="17"/>
        <v>3</v>
      </c>
      <c r="L137" s="1">
        <f t="shared" si="18"/>
        <v>36</v>
      </c>
      <c r="M137" s="1">
        <f t="shared" si="19"/>
        <v>9</v>
      </c>
    </row>
    <row r="138" spans="1:13" x14ac:dyDescent="0.4">
      <c r="A138" s="9">
        <v>137</v>
      </c>
      <c r="B138" s="1">
        <v>272</v>
      </c>
      <c r="C138" s="14">
        <f t="shared" si="20"/>
        <v>54.4</v>
      </c>
      <c r="D138" s="3">
        <v>0.18888888888888899</v>
      </c>
      <c r="E138">
        <v>18</v>
      </c>
      <c r="F138" s="11">
        <v>11</v>
      </c>
      <c r="G138" s="11">
        <v>11</v>
      </c>
      <c r="H138" s="1">
        <f t="shared" si="14"/>
        <v>-7</v>
      </c>
      <c r="I138" s="1">
        <f t="shared" si="15"/>
        <v>-7</v>
      </c>
      <c r="J138" s="1">
        <f t="shared" si="16"/>
        <v>7</v>
      </c>
      <c r="K138" s="1">
        <f t="shared" si="17"/>
        <v>7</v>
      </c>
      <c r="L138" s="1">
        <f t="shared" si="18"/>
        <v>49</v>
      </c>
      <c r="M138" s="1">
        <f t="shared" si="19"/>
        <v>49</v>
      </c>
    </row>
    <row r="139" spans="1:13" x14ac:dyDescent="0.4">
      <c r="A139" s="9">
        <v>138</v>
      </c>
      <c r="B139">
        <v>274</v>
      </c>
      <c r="C139" s="14">
        <f t="shared" si="20"/>
        <v>54.8</v>
      </c>
      <c r="D139" s="3">
        <v>0.19027777777777799</v>
      </c>
      <c r="E139">
        <v>17</v>
      </c>
      <c r="F139" s="11">
        <v>11</v>
      </c>
      <c r="G139" s="11">
        <v>13</v>
      </c>
      <c r="H139" s="1">
        <f t="shared" si="14"/>
        <v>-6</v>
      </c>
      <c r="I139" s="1">
        <f t="shared" si="15"/>
        <v>-4</v>
      </c>
      <c r="J139" s="1">
        <f t="shared" si="16"/>
        <v>6</v>
      </c>
      <c r="K139" s="1">
        <f t="shared" si="17"/>
        <v>4</v>
      </c>
      <c r="L139" s="1">
        <f t="shared" si="18"/>
        <v>36</v>
      </c>
      <c r="M139" s="1">
        <f t="shared" si="19"/>
        <v>16</v>
      </c>
    </row>
    <row r="140" spans="1:13" x14ac:dyDescent="0.4">
      <c r="A140" s="9">
        <v>139</v>
      </c>
      <c r="B140">
        <v>276</v>
      </c>
      <c r="C140" s="14">
        <f t="shared" si="20"/>
        <v>55.2</v>
      </c>
      <c r="D140" s="2">
        <v>0.19166666666666701</v>
      </c>
      <c r="E140">
        <v>17</v>
      </c>
      <c r="F140" s="8">
        <v>14</v>
      </c>
      <c r="G140" s="11">
        <v>13</v>
      </c>
      <c r="H140" s="1">
        <f t="shared" si="14"/>
        <v>-3</v>
      </c>
      <c r="I140" s="1">
        <f t="shared" si="15"/>
        <v>-4</v>
      </c>
      <c r="J140" s="1">
        <f t="shared" si="16"/>
        <v>3</v>
      </c>
      <c r="K140" s="1">
        <f t="shared" si="17"/>
        <v>4</v>
      </c>
      <c r="L140" s="1">
        <f t="shared" si="18"/>
        <v>9</v>
      </c>
      <c r="M140" s="1">
        <f t="shared" si="19"/>
        <v>16</v>
      </c>
    </row>
    <row r="141" spans="1:13" x14ac:dyDescent="0.4">
      <c r="A141" s="9">
        <v>140</v>
      </c>
      <c r="B141">
        <v>278</v>
      </c>
      <c r="C141" s="14">
        <f t="shared" si="20"/>
        <v>55.6</v>
      </c>
      <c r="D141" s="3">
        <v>0.19305555555555601</v>
      </c>
      <c r="E141">
        <v>17</v>
      </c>
      <c r="F141" s="8">
        <v>14</v>
      </c>
      <c r="G141" s="8">
        <v>14</v>
      </c>
      <c r="H141" s="1">
        <f t="shared" si="14"/>
        <v>-3</v>
      </c>
      <c r="I141" s="1">
        <f t="shared" si="15"/>
        <v>-3</v>
      </c>
      <c r="J141" s="1">
        <f t="shared" si="16"/>
        <v>3</v>
      </c>
      <c r="K141" s="1">
        <f t="shared" si="17"/>
        <v>3</v>
      </c>
      <c r="L141" s="1">
        <f t="shared" si="18"/>
        <v>9</v>
      </c>
      <c r="M141" s="1">
        <f t="shared" si="19"/>
        <v>9</v>
      </c>
    </row>
    <row r="142" spans="1:13" x14ac:dyDescent="0.4">
      <c r="A142" s="9">
        <v>141</v>
      </c>
      <c r="B142" s="1">
        <v>280</v>
      </c>
      <c r="C142" s="14">
        <f t="shared" si="20"/>
        <v>56</v>
      </c>
      <c r="D142" s="3">
        <v>0.194444444444445</v>
      </c>
      <c r="E142">
        <v>17</v>
      </c>
      <c r="F142" s="8">
        <v>14</v>
      </c>
      <c r="G142" s="11">
        <v>15</v>
      </c>
      <c r="H142" s="1">
        <f t="shared" si="14"/>
        <v>-3</v>
      </c>
      <c r="I142" s="1">
        <f t="shared" si="15"/>
        <v>-2</v>
      </c>
      <c r="J142" s="1">
        <f t="shared" si="16"/>
        <v>3</v>
      </c>
      <c r="K142" s="1">
        <f t="shared" si="17"/>
        <v>2</v>
      </c>
      <c r="L142" s="1">
        <f t="shared" si="18"/>
        <v>9</v>
      </c>
      <c r="M142" s="1">
        <f t="shared" si="19"/>
        <v>4</v>
      </c>
    </row>
    <row r="143" spans="1:13" x14ac:dyDescent="0.4">
      <c r="A143" s="9">
        <v>142</v>
      </c>
      <c r="B143">
        <v>282</v>
      </c>
      <c r="C143" s="14">
        <f t="shared" si="20"/>
        <v>56.4</v>
      </c>
      <c r="D143" s="2">
        <v>0.195833333333334</v>
      </c>
      <c r="E143">
        <v>17</v>
      </c>
      <c r="F143" s="8">
        <v>14</v>
      </c>
      <c r="G143" s="11">
        <v>11</v>
      </c>
      <c r="H143" s="1">
        <f t="shared" si="14"/>
        <v>-3</v>
      </c>
      <c r="I143" s="1">
        <f t="shared" si="15"/>
        <v>-6</v>
      </c>
      <c r="J143" s="1">
        <f t="shared" si="16"/>
        <v>3</v>
      </c>
      <c r="K143" s="1">
        <f t="shared" si="17"/>
        <v>6</v>
      </c>
      <c r="L143" s="1">
        <f t="shared" si="18"/>
        <v>9</v>
      </c>
      <c r="M143" s="1">
        <f t="shared" si="19"/>
        <v>36</v>
      </c>
    </row>
    <row r="144" spans="1:13" x14ac:dyDescent="0.4">
      <c r="A144" s="9">
        <v>143</v>
      </c>
      <c r="B144">
        <v>284</v>
      </c>
      <c r="C144" s="14">
        <f t="shared" si="20"/>
        <v>56.8</v>
      </c>
      <c r="D144" s="3">
        <v>0.19722222222222299</v>
      </c>
      <c r="E144">
        <v>17</v>
      </c>
      <c r="F144" s="8">
        <v>14</v>
      </c>
      <c r="G144" s="11">
        <v>13</v>
      </c>
      <c r="H144" s="1">
        <f t="shared" si="14"/>
        <v>-3</v>
      </c>
      <c r="I144" s="1">
        <f t="shared" si="15"/>
        <v>-4</v>
      </c>
      <c r="J144" s="1">
        <f t="shared" si="16"/>
        <v>3</v>
      </c>
      <c r="K144" s="1">
        <f t="shared" si="17"/>
        <v>4</v>
      </c>
      <c r="L144" s="1">
        <f t="shared" si="18"/>
        <v>9</v>
      </c>
      <c r="M144" s="1">
        <f t="shared" si="19"/>
        <v>16</v>
      </c>
    </row>
    <row r="145" spans="1:13" x14ac:dyDescent="0.4">
      <c r="A145" s="9">
        <v>144</v>
      </c>
      <c r="B145">
        <v>286</v>
      </c>
      <c r="C145" s="14">
        <f t="shared" si="20"/>
        <v>57.2</v>
      </c>
      <c r="D145" s="3">
        <v>0.19861111111111199</v>
      </c>
      <c r="E145">
        <v>16</v>
      </c>
      <c r="F145" s="8">
        <v>14</v>
      </c>
      <c r="G145" s="11">
        <v>13</v>
      </c>
      <c r="H145" s="1">
        <f t="shared" si="14"/>
        <v>-2</v>
      </c>
      <c r="I145" s="1">
        <f t="shared" si="15"/>
        <v>-3</v>
      </c>
      <c r="J145" s="1">
        <f t="shared" si="16"/>
        <v>2</v>
      </c>
      <c r="K145" s="1">
        <f t="shared" si="17"/>
        <v>3</v>
      </c>
      <c r="L145" s="1">
        <f t="shared" si="18"/>
        <v>4</v>
      </c>
      <c r="M145" s="1">
        <f t="shared" si="19"/>
        <v>9</v>
      </c>
    </row>
    <row r="146" spans="1:13" x14ac:dyDescent="0.4">
      <c r="A146" s="9">
        <v>145</v>
      </c>
      <c r="B146" s="1">
        <v>288</v>
      </c>
      <c r="C146" s="14">
        <f t="shared" si="20"/>
        <v>57.6</v>
      </c>
      <c r="D146" s="2">
        <v>0.20000000000000101</v>
      </c>
      <c r="E146">
        <v>16</v>
      </c>
      <c r="F146" s="11">
        <v>10</v>
      </c>
      <c r="G146" s="8">
        <v>11</v>
      </c>
      <c r="H146" s="1">
        <f t="shared" si="14"/>
        <v>-6</v>
      </c>
      <c r="I146" s="1">
        <f t="shared" si="15"/>
        <v>-5</v>
      </c>
      <c r="J146" s="1">
        <f t="shared" si="16"/>
        <v>6</v>
      </c>
      <c r="K146" s="1">
        <f t="shared" si="17"/>
        <v>5</v>
      </c>
      <c r="L146" s="1">
        <f t="shared" si="18"/>
        <v>36</v>
      </c>
      <c r="M146" s="1">
        <f t="shared" si="19"/>
        <v>25</v>
      </c>
    </row>
    <row r="147" spans="1:13" x14ac:dyDescent="0.4">
      <c r="A147" s="9">
        <v>146</v>
      </c>
      <c r="B147">
        <v>290</v>
      </c>
      <c r="C147" s="14">
        <f t="shared" si="20"/>
        <v>58</v>
      </c>
      <c r="D147" s="3">
        <v>0.20138888888888901</v>
      </c>
      <c r="E147">
        <v>16</v>
      </c>
      <c r="F147" s="11">
        <v>11</v>
      </c>
      <c r="G147" s="11">
        <v>12</v>
      </c>
      <c r="H147" s="1">
        <f t="shared" si="14"/>
        <v>-5</v>
      </c>
      <c r="I147" s="1">
        <f t="shared" si="15"/>
        <v>-4</v>
      </c>
      <c r="J147" s="1">
        <f t="shared" si="16"/>
        <v>5</v>
      </c>
      <c r="K147" s="1">
        <f t="shared" si="17"/>
        <v>4</v>
      </c>
      <c r="L147" s="1">
        <f t="shared" si="18"/>
        <v>25</v>
      </c>
      <c r="M147" s="1">
        <f t="shared" si="19"/>
        <v>16</v>
      </c>
    </row>
    <row r="148" spans="1:13" x14ac:dyDescent="0.4">
      <c r="A148" s="9">
        <v>147</v>
      </c>
      <c r="B148">
        <v>292</v>
      </c>
      <c r="C148" s="14">
        <f t="shared" si="20"/>
        <v>58.4</v>
      </c>
      <c r="D148" s="3">
        <v>0.202777777777778</v>
      </c>
      <c r="E148">
        <v>16</v>
      </c>
      <c r="F148" s="11">
        <v>11</v>
      </c>
      <c r="G148" s="11">
        <v>14</v>
      </c>
      <c r="H148" s="1">
        <f t="shared" si="14"/>
        <v>-5</v>
      </c>
      <c r="I148" s="1">
        <f t="shared" si="15"/>
        <v>-2</v>
      </c>
      <c r="J148" s="1">
        <f t="shared" si="16"/>
        <v>5</v>
      </c>
      <c r="K148" s="1">
        <f t="shared" si="17"/>
        <v>2</v>
      </c>
      <c r="L148" s="1">
        <f t="shared" si="18"/>
        <v>25</v>
      </c>
      <c r="M148" s="1">
        <f t="shared" si="19"/>
        <v>4</v>
      </c>
    </row>
    <row r="149" spans="1:13" x14ac:dyDescent="0.4">
      <c r="A149" s="9">
        <v>148</v>
      </c>
      <c r="B149">
        <v>294</v>
      </c>
      <c r="C149" s="14">
        <f t="shared" si="20"/>
        <v>58.8</v>
      </c>
      <c r="D149" s="2">
        <v>0.204166666666667</v>
      </c>
      <c r="E149">
        <v>16</v>
      </c>
      <c r="F149" s="11">
        <v>10</v>
      </c>
      <c r="G149" s="11">
        <v>13</v>
      </c>
      <c r="H149" s="1">
        <f t="shared" si="14"/>
        <v>-6</v>
      </c>
      <c r="I149" s="1">
        <f t="shared" si="15"/>
        <v>-3</v>
      </c>
      <c r="J149" s="1">
        <f t="shared" si="16"/>
        <v>6</v>
      </c>
      <c r="K149" s="1">
        <f t="shared" si="17"/>
        <v>3</v>
      </c>
      <c r="L149" s="1">
        <f t="shared" si="18"/>
        <v>36</v>
      </c>
      <c r="M149" s="1">
        <f t="shared" si="19"/>
        <v>9</v>
      </c>
    </row>
    <row r="150" spans="1:13" x14ac:dyDescent="0.4">
      <c r="A150" s="9">
        <v>149</v>
      </c>
      <c r="B150" s="1">
        <v>296</v>
      </c>
      <c r="C150" s="14">
        <f t="shared" si="20"/>
        <v>59.2</v>
      </c>
      <c r="D150" s="3">
        <v>0.20555555555555599</v>
      </c>
      <c r="E150">
        <v>16</v>
      </c>
      <c r="F150" s="8">
        <v>11</v>
      </c>
      <c r="G150" s="11">
        <v>13</v>
      </c>
      <c r="H150" s="1">
        <f t="shared" si="14"/>
        <v>-5</v>
      </c>
      <c r="I150" s="1">
        <f t="shared" si="15"/>
        <v>-3</v>
      </c>
      <c r="J150" s="1">
        <f t="shared" si="16"/>
        <v>5</v>
      </c>
      <c r="K150" s="1">
        <f t="shared" si="17"/>
        <v>3</v>
      </c>
      <c r="L150" s="1">
        <f t="shared" si="18"/>
        <v>25</v>
      </c>
      <c r="M150" s="1">
        <f t="shared" si="19"/>
        <v>9</v>
      </c>
    </row>
    <row r="151" spans="1:13" x14ac:dyDescent="0.4">
      <c r="A151" s="9">
        <v>150</v>
      </c>
      <c r="B151">
        <v>298</v>
      </c>
      <c r="C151" s="14">
        <f t="shared" si="20"/>
        <v>59.6</v>
      </c>
      <c r="D151" s="3">
        <v>0.20694444444444501</v>
      </c>
      <c r="E151">
        <v>16</v>
      </c>
      <c r="F151" s="8">
        <v>11</v>
      </c>
      <c r="G151" s="8">
        <v>10</v>
      </c>
      <c r="H151" s="1">
        <f t="shared" si="14"/>
        <v>-5</v>
      </c>
      <c r="I151" s="1">
        <f t="shared" si="15"/>
        <v>-6</v>
      </c>
      <c r="J151" s="1">
        <f t="shared" si="16"/>
        <v>5</v>
      </c>
      <c r="K151" s="1">
        <f t="shared" si="17"/>
        <v>6</v>
      </c>
      <c r="L151" s="1">
        <f t="shared" si="18"/>
        <v>25</v>
      </c>
      <c r="M151" s="1">
        <f t="shared" si="19"/>
        <v>36</v>
      </c>
    </row>
    <row r="152" spans="1:13" x14ac:dyDescent="0.4">
      <c r="A152" s="9">
        <v>151</v>
      </c>
      <c r="B152">
        <v>300</v>
      </c>
      <c r="C152" s="14">
        <f t="shared" si="20"/>
        <v>60</v>
      </c>
      <c r="D152" s="2">
        <v>0.20833333333333401</v>
      </c>
      <c r="E152">
        <v>16</v>
      </c>
      <c r="F152" s="8">
        <v>11</v>
      </c>
      <c r="G152" s="11">
        <v>12</v>
      </c>
      <c r="H152" s="1">
        <f t="shared" si="14"/>
        <v>-5</v>
      </c>
      <c r="I152" s="1">
        <f t="shared" si="15"/>
        <v>-4</v>
      </c>
      <c r="J152" s="1">
        <f t="shared" si="16"/>
        <v>5</v>
      </c>
      <c r="K152" s="1">
        <f t="shared" si="17"/>
        <v>4</v>
      </c>
      <c r="L152" s="1">
        <f t="shared" si="18"/>
        <v>25</v>
      </c>
      <c r="M152" s="1">
        <f t="shared" si="19"/>
        <v>16</v>
      </c>
    </row>
    <row r="155" spans="1:13" x14ac:dyDescent="0.4">
      <c r="F155" s="8"/>
    </row>
    <row r="164" spans="6:6" x14ac:dyDescent="0.4">
      <c r="F164" s="8"/>
    </row>
    <row r="173" spans="6:6" x14ac:dyDescent="0.4">
      <c r="F173" s="8"/>
    </row>
  </sheetData>
  <autoFilter ref="A1:Q1" xr:uid="{182CB297-F42E-480F-8541-DD58A965A2DE}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02BB5-8FE4-49B8-8B58-E4C4BC8DBAF0}">
  <dimension ref="A1:D8"/>
  <sheetViews>
    <sheetView workbookViewId="0">
      <selection activeCell="D16" sqref="D16"/>
    </sheetView>
  </sheetViews>
  <sheetFormatPr baseColWidth="10" defaultRowHeight="14.6" x14ac:dyDescent="0.4"/>
  <cols>
    <col min="1" max="1" width="22.53515625" customWidth="1"/>
    <col min="2" max="2" width="12.921875" customWidth="1"/>
    <col min="3" max="3" width="15.765625" customWidth="1"/>
    <col min="4" max="4" width="33.23046875" customWidth="1"/>
  </cols>
  <sheetData>
    <row r="1" spans="1:4" x14ac:dyDescent="0.4">
      <c r="A1" s="20" t="s">
        <v>26</v>
      </c>
      <c r="B1" s="18" t="s">
        <v>21</v>
      </c>
      <c r="C1" s="18" t="s">
        <v>16</v>
      </c>
      <c r="D1" s="19" t="s">
        <v>25</v>
      </c>
    </row>
    <row r="2" spans="1:4" ht="29.15" x14ac:dyDescent="0.4">
      <c r="A2" s="16" t="s">
        <v>11</v>
      </c>
      <c r="B2" s="16">
        <v>5.07</v>
      </c>
      <c r="C2" s="16">
        <v>4.55</v>
      </c>
      <c r="D2" s="16" t="s">
        <v>22</v>
      </c>
    </row>
    <row r="3" spans="1:4" ht="43.75" x14ac:dyDescent="0.4">
      <c r="A3" s="16" t="s">
        <v>12</v>
      </c>
      <c r="B3" s="16">
        <v>-5.07</v>
      </c>
      <c r="C3" s="16">
        <v>-4.55</v>
      </c>
      <c r="D3" s="16" t="s">
        <v>23</v>
      </c>
    </row>
    <row r="4" spans="1:4" ht="29.15" x14ac:dyDescent="0.4">
      <c r="A4" s="16" t="s">
        <v>14</v>
      </c>
      <c r="B4" s="16">
        <v>5.31</v>
      </c>
      <c r="C4" s="16">
        <v>5.03</v>
      </c>
      <c r="D4" s="16" t="s">
        <v>24</v>
      </c>
    </row>
    <row r="5" spans="1:4" ht="29.15" x14ac:dyDescent="0.4">
      <c r="A5" s="16" t="s">
        <v>20</v>
      </c>
      <c r="B5" s="17">
        <v>0.60899999999999999</v>
      </c>
      <c r="C5" s="17">
        <v>0.66200000000000003</v>
      </c>
      <c r="D5" s="16" t="s">
        <v>18</v>
      </c>
    </row>
    <row r="8" spans="1:4" x14ac:dyDescent="0.4">
      <c r="D8" s="1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Cobaleda Rosero</dc:creator>
  <cp:lastModifiedBy>Josue Cobaleda Rosero</cp:lastModifiedBy>
  <dcterms:created xsi:type="dcterms:W3CDTF">2025-12-05T00:53:39Z</dcterms:created>
  <dcterms:modified xsi:type="dcterms:W3CDTF">2025-12-05T22:41:39Z</dcterms:modified>
</cp:coreProperties>
</file>